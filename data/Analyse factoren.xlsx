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c\Documents\GitHub\FLIM\data\"/>
    </mc:Choice>
  </mc:AlternateContent>
  <xr:revisionPtr revIDLastSave="0" documentId="13_ncr:1_{553152A8-9C03-4D33-B107-1021E8ACA010}" xr6:coauthVersionLast="47" xr6:coauthVersionMax="47" xr10:uidLastSave="{00000000-0000-0000-0000-000000000000}"/>
  <bookViews>
    <workbookView xWindow="-108" yWindow="-108" windowWidth="23256" windowHeight="12576" firstSheet="2" activeTab="3" xr2:uid="{00000000-000D-0000-FFFF-FFFF00000000}"/>
  </bookViews>
  <sheets>
    <sheet name="Factoren ex vragen" sheetId="1" r:id="rId1"/>
    <sheet name="Factoren incl vragen" sheetId="2" r:id="rId2"/>
    <sheet name="FLIM DQS" sheetId="5" r:id="rId3"/>
    <sheet name="Data per factor (incl kwal)" sheetId="4" r:id="rId4"/>
    <sheet name="Hiaten" sheetId="6" r:id="rId5"/>
    <sheet name="Data per factor"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4" i="4" l="1"/>
  <c r="Q43" i="4"/>
  <c r="F45" i="4"/>
  <c r="R52" i="4" l="1"/>
  <c r="R57" i="4"/>
  <c r="R79" i="4"/>
  <c r="R77" i="4"/>
  <c r="R40" i="4"/>
  <c r="R37" i="4"/>
  <c r="R35" i="4"/>
  <c r="R32" i="4"/>
  <c r="R31" i="4"/>
  <c r="R30" i="4"/>
  <c r="R29" i="4"/>
  <c r="R26" i="4"/>
  <c r="R23" i="4"/>
  <c r="R22" i="4"/>
  <c r="R21" i="4"/>
  <c r="R20" i="4"/>
  <c r="R19" i="4"/>
  <c r="R18" i="4"/>
  <c r="R17" i="4"/>
  <c r="Q41" i="4"/>
  <c r="Q36" i="4"/>
  <c r="Q26" i="4"/>
  <c r="Q19" i="4"/>
  <c r="Q62" i="4"/>
  <c r="Q67" i="4"/>
  <c r="Q93" i="4"/>
  <c r="Q92" i="4"/>
  <c r="Q91" i="4"/>
  <c r="Q89" i="4"/>
  <c r="Q87" i="4"/>
  <c r="Q86" i="4"/>
  <c r="Q85" i="4"/>
  <c r="Q83" i="4"/>
  <c r="Q80" i="4"/>
  <c r="Q78" i="4"/>
  <c r="Q75" i="4"/>
  <c r="Q73" i="4"/>
  <c r="Q72" i="4"/>
  <c r="Q71" i="4"/>
  <c r="Q70" i="4"/>
  <c r="R75" i="4"/>
  <c r="R67" i="4"/>
  <c r="R62" i="4"/>
  <c r="Q39" i="4"/>
  <c r="Q38" i="4"/>
  <c r="Q37" i="4"/>
  <c r="Q106" i="4"/>
  <c r="Q22" i="4"/>
  <c r="Q21" i="4"/>
  <c r="Q33" i="4"/>
  <c r="R61" i="4"/>
  <c r="Q69" i="4"/>
  <c r="Q68" i="4"/>
  <c r="Q66" i="4"/>
  <c r="Q65" i="4"/>
  <c r="Q64" i="4"/>
  <c r="Q63" i="4"/>
  <c r="Q61" i="4"/>
  <c r="Q84" i="4"/>
  <c r="Q82" i="4"/>
  <c r="Q81" i="4"/>
  <c r="Q79" i="4"/>
  <c r="Q77" i="4"/>
  <c r="Q76" i="4"/>
  <c r="Q74" i="4"/>
  <c r="Q88" i="4"/>
  <c r="Q40" i="4"/>
  <c r="Q35" i="4"/>
  <c r="Q32" i="4"/>
  <c r="Q31" i="4"/>
  <c r="Q30" i="4"/>
  <c r="Q29" i="4"/>
  <c r="Q28" i="4"/>
  <c r="Q27" i="4"/>
  <c r="Q24" i="4"/>
  <c r="Q23" i="4"/>
  <c r="Q20" i="4"/>
  <c r="Q17" i="4"/>
  <c r="R76" i="4" l="1"/>
  <c r="R69" i="4"/>
  <c r="R65" i="4"/>
  <c r="R66" i="4"/>
  <c r="R64" i="4"/>
  <c r="Q99" i="4"/>
  <c r="Q100" i="4"/>
  <c r="Q101" i="4"/>
  <c r="Q102" i="4"/>
  <c r="Q103" i="4"/>
  <c r="Q104" i="4"/>
  <c r="Q105" i="4"/>
  <c r="Q107" i="4"/>
  <c r="Q108" i="4"/>
  <c r="Q109" i="4"/>
  <c r="Q180" i="4"/>
  <c r="Q181" i="4"/>
  <c r="Q137" i="4"/>
  <c r="Q131" i="4"/>
  <c r="Q132" i="4"/>
  <c r="Q133" i="4"/>
  <c r="Q134" i="4"/>
  <c r="Q135" i="4"/>
  <c r="Q136" i="4"/>
  <c r="Q125" i="4"/>
  <c r="Q126" i="4"/>
  <c r="Q127" i="4"/>
  <c r="Q128" i="4"/>
  <c r="Q129" i="4"/>
  <c r="Q122" i="4"/>
  <c r="Q123" i="4"/>
  <c r="Q124" i="4"/>
  <c r="Q130" i="4"/>
  <c r="Q187" i="4"/>
  <c r="Q98" i="4"/>
  <c r="F193" i="4" l="1"/>
  <c r="F192" i="4"/>
  <c r="F178" i="4"/>
  <c r="F142" i="4"/>
  <c r="F121" i="4"/>
  <c r="R97" i="4"/>
  <c r="R93" i="4"/>
  <c r="R91" i="4"/>
  <c r="R90" i="4"/>
  <c r="R88" i="4"/>
  <c r="R87" i="4"/>
  <c r="R82" i="4"/>
  <c r="R74" i="4"/>
  <c r="R73" i="4"/>
  <c r="R72" i="4"/>
  <c r="R71" i="4"/>
  <c r="R68" i="4"/>
  <c r="R63" i="4"/>
  <c r="R60" i="4"/>
  <c r="R56" i="4"/>
  <c r="R54" i="4"/>
  <c r="R53" i="4"/>
  <c r="R51" i="4"/>
  <c r="R50" i="4"/>
  <c r="R49" i="4"/>
  <c r="R48" i="4"/>
  <c r="R46" i="4"/>
  <c r="R45" i="4"/>
  <c r="R34" i="4"/>
  <c r="F34" i="4"/>
  <c r="R28" i="4"/>
  <c r="R27" i="4"/>
  <c r="R24" i="4"/>
  <c r="R16" i="4"/>
  <c r="F16" i="4"/>
  <c r="R14" i="4"/>
  <c r="R12" i="4"/>
  <c r="R8" i="4"/>
  <c r="F8" i="4"/>
  <c r="R7" i="4"/>
  <c r="R6" i="4"/>
  <c r="R5" i="4"/>
  <c r="R4" i="4"/>
  <c r="I118" i="3"/>
  <c r="F118" i="3"/>
  <c r="I144" i="3"/>
  <c r="F144" i="3"/>
  <c r="I143" i="3"/>
  <c r="F143" i="3"/>
  <c r="I138" i="3"/>
  <c r="F138" i="3"/>
  <c r="I135" i="3"/>
  <c r="F135" i="3"/>
  <c r="I134" i="3"/>
  <c r="F134" i="3"/>
  <c r="F129" i="3"/>
  <c r="I126" i="3"/>
  <c r="F126" i="3"/>
  <c r="I125" i="3"/>
  <c r="F125" i="3"/>
  <c r="I124" i="3"/>
  <c r="F124" i="3"/>
  <c r="I123" i="3"/>
  <c r="F123" i="3"/>
  <c r="I122" i="3"/>
  <c r="F122" i="3"/>
  <c r="I121" i="3"/>
  <c r="F121" i="3"/>
  <c r="I120" i="3"/>
  <c r="F120" i="3"/>
  <c r="I119" i="3"/>
  <c r="F119" i="3"/>
  <c r="I117" i="3"/>
  <c r="F117" i="3"/>
  <c r="F116" i="3"/>
  <c r="I107" i="3"/>
  <c r="F107" i="3"/>
  <c r="I106" i="3"/>
  <c r="F106" i="3"/>
  <c r="I105" i="3"/>
  <c r="F105" i="3"/>
  <c r="I104" i="3"/>
  <c r="F104" i="3"/>
  <c r="I103" i="3"/>
  <c r="F103" i="3"/>
  <c r="I102" i="3"/>
  <c r="F102" i="3"/>
  <c r="I101" i="3"/>
  <c r="F101" i="3"/>
  <c r="I100" i="3"/>
  <c r="F100" i="3"/>
  <c r="I99" i="3"/>
  <c r="F99" i="3"/>
  <c r="I98" i="3"/>
  <c r="F98" i="3"/>
  <c r="I97" i="3"/>
  <c r="F97" i="3"/>
  <c r="I96" i="3"/>
  <c r="F96" i="3"/>
  <c r="I95" i="3"/>
  <c r="F95" i="3"/>
  <c r="I94" i="3"/>
  <c r="F94" i="3"/>
  <c r="I92" i="3"/>
  <c r="F92" i="3"/>
  <c r="I91" i="3"/>
  <c r="F91" i="3"/>
  <c r="I90" i="3"/>
  <c r="F90" i="3"/>
  <c r="I89" i="3"/>
  <c r="I88" i="3"/>
  <c r="I87" i="3"/>
  <c r="I86" i="3"/>
  <c r="I85" i="3"/>
  <c r="I84" i="3"/>
  <c r="I83" i="3"/>
  <c r="I82" i="3"/>
  <c r="I81" i="3"/>
  <c r="I80" i="3"/>
  <c r="I79" i="3"/>
  <c r="I77" i="3"/>
  <c r="I74" i="3"/>
  <c r="I73" i="3"/>
  <c r="I72" i="3"/>
  <c r="I71" i="3"/>
  <c r="I70" i="3"/>
  <c r="I69" i="3"/>
  <c r="I67" i="3"/>
  <c r="F67" i="3"/>
  <c r="I66" i="3"/>
  <c r="F66" i="3"/>
  <c r="I65" i="3"/>
  <c r="F65" i="3"/>
  <c r="I64" i="3"/>
  <c r="F64" i="3"/>
  <c r="I63" i="3"/>
  <c r="F63" i="3"/>
  <c r="I62" i="3"/>
  <c r="F62" i="3"/>
  <c r="I61" i="3"/>
  <c r="F61" i="3"/>
  <c r="I60" i="3"/>
  <c r="F60" i="3"/>
  <c r="I59" i="3"/>
  <c r="F59" i="3"/>
  <c r="I58" i="3"/>
  <c r="F58" i="3"/>
  <c r="I57" i="3"/>
  <c r="F57" i="3"/>
  <c r="I56" i="3"/>
  <c r="F56" i="3"/>
  <c r="I55" i="3"/>
  <c r="F55" i="3"/>
  <c r="I54" i="3"/>
  <c r="F54" i="3"/>
  <c r="I53" i="3"/>
  <c r="F53" i="3"/>
  <c r="I52" i="3"/>
  <c r="F52" i="3"/>
  <c r="I51" i="3"/>
  <c r="F51" i="3"/>
  <c r="I50" i="3"/>
  <c r="F50" i="3"/>
  <c r="I49" i="3"/>
  <c r="F49" i="3"/>
  <c r="I48" i="3"/>
  <c r="F48" i="3"/>
  <c r="I47" i="3"/>
  <c r="F47" i="3"/>
  <c r="I46" i="3"/>
  <c r="F46" i="3"/>
  <c r="I45" i="3"/>
  <c r="F45" i="3"/>
  <c r="I43" i="3"/>
  <c r="F43" i="3"/>
  <c r="I40" i="3"/>
  <c r="F40" i="3"/>
  <c r="I39" i="3"/>
  <c r="F39" i="3"/>
  <c r="I38" i="3"/>
  <c r="F38" i="3"/>
  <c r="I37" i="3"/>
  <c r="F37" i="3"/>
  <c r="I36" i="3"/>
  <c r="F36" i="3"/>
  <c r="I35" i="3"/>
  <c r="F35" i="3"/>
  <c r="I34" i="3"/>
  <c r="F34" i="3"/>
  <c r="I33" i="3"/>
  <c r="F33" i="3"/>
  <c r="I32" i="3"/>
  <c r="F32" i="3"/>
  <c r="I28" i="3"/>
  <c r="I14" i="3"/>
  <c r="F14" i="3"/>
  <c r="I13" i="3"/>
  <c r="F13" i="3"/>
  <c r="I12" i="3"/>
  <c r="F12" i="3"/>
  <c r="I9" i="3"/>
  <c r="F9" i="3"/>
  <c r="I8" i="3"/>
  <c r="F8" i="3"/>
  <c r="I7" i="3"/>
  <c r="F7" i="3"/>
  <c r="I6" i="3"/>
  <c r="F6" i="3"/>
  <c r="I5" i="3"/>
  <c r="F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000-000001000000}">
      <text>
        <r>
          <rPr>
            <sz val="10"/>
            <color rgb="FF000000"/>
            <rFont val="Arial"/>
            <family val="2"/>
            <scheme val="minor"/>
          </rPr>
          <t>hout, spaanplaat, multiplex en MDF plaatmateriaal, aluminium en RVS, schuim, Textiel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100-000001000000}">
      <text>
        <r>
          <rPr>
            <sz val="10"/>
            <color rgb="FF000000"/>
            <rFont val="Arial"/>
            <family val="2"/>
            <scheme val="minor"/>
          </rPr>
          <t>hout, spaanplaat, multiplex en MDF plaatmateriaal, aluminium en RVS, schuim, Textiel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Gebruiker</author>
  </authors>
  <commentList>
    <comment ref="I1" authorId="0" shapeId="0" xr:uid="{0F58745D-72BF-4877-A496-3DF76951F4AE}">
      <text>
        <r>
          <rPr>
            <b/>
            <sz val="9"/>
            <color indexed="81"/>
            <rFont val="Tahoma"/>
            <family val="2"/>
          </rPr>
          <t>Gebruiker:</t>
        </r>
        <r>
          <rPr>
            <sz val="9"/>
            <color indexed="81"/>
            <rFont val="Tahoma"/>
            <family val="2"/>
          </rPr>
          <t xml:space="preserve">
In welke mate zijn de gebruikte bronnen gekwalificeerd en is de data verifieerbaar?</t>
        </r>
      </text>
    </comment>
    <comment ref="J1" authorId="0" shapeId="0" xr:uid="{E0BC9CB4-7CD4-4C83-9D13-71FFBBB3E24B}">
      <text>
        <r>
          <rPr>
            <b/>
            <sz val="9"/>
            <color indexed="81"/>
            <rFont val="Tahoma"/>
            <family val="2"/>
          </rPr>
          <t>Gebruiker:</t>
        </r>
        <r>
          <rPr>
            <sz val="9"/>
            <color indexed="81"/>
            <rFont val="Tahoma"/>
            <family val="2"/>
          </rPr>
          <t xml:space="preserve">
Geeft de data een volledig beeld in de tijd?</t>
        </r>
      </text>
    </comment>
    <comment ref="K1" authorId="0" shapeId="0" xr:uid="{DFF410CD-E9D9-4E11-B03B-259F43276DAE}">
      <text>
        <r>
          <rPr>
            <b/>
            <sz val="9"/>
            <color indexed="81"/>
            <rFont val="Tahoma"/>
            <family val="2"/>
          </rPr>
          <t>Gebruiker:</t>
        </r>
        <r>
          <rPr>
            <sz val="9"/>
            <color indexed="81"/>
            <rFont val="Tahoma"/>
            <family val="2"/>
          </rPr>
          <t xml:space="preserve">
Wat is de spreiding van datapunten in de tijd?</t>
        </r>
      </text>
    </comment>
    <comment ref="L1" authorId="0" shapeId="0" xr:uid="{8AFD8CCB-B04F-4349-B422-80A272AC700A}">
      <text>
        <r>
          <rPr>
            <b/>
            <sz val="9"/>
            <color indexed="81"/>
            <rFont val="Tahoma"/>
            <family val="2"/>
          </rPr>
          <t>Gebruiker:</t>
        </r>
        <r>
          <rPr>
            <sz val="9"/>
            <color indexed="81"/>
            <rFont val="Tahoma"/>
            <family val="2"/>
          </rPr>
          <t xml:space="preserve">
Hoe actueel is de data?
</t>
        </r>
      </text>
    </comment>
    <comment ref="M1" authorId="0" shapeId="0" xr:uid="{3D04A36C-6C37-4724-A438-F994A0632953}">
      <text>
        <r>
          <rPr>
            <b/>
            <sz val="9"/>
            <color indexed="81"/>
            <rFont val="Tahoma"/>
            <family val="2"/>
          </rPr>
          <t>Gebruiker:</t>
        </r>
        <r>
          <rPr>
            <sz val="9"/>
            <color indexed="81"/>
            <rFont val="Tahoma"/>
            <family val="2"/>
          </rPr>
          <t xml:space="preserve">
Geeft de data een volledig beeld van relevante locatiepunten?</t>
        </r>
      </text>
    </comment>
    <comment ref="N1" authorId="0" shapeId="0" xr:uid="{198D145B-BE88-48BE-9562-3BFCD722A419}">
      <text>
        <r>
          <rPr>
            <b/>
            <sz val="9"/>
            <color indexed="81"/>
            <rFont val="Tahoma"/>
            <family val="2"/>
          </rPr>
          <t>Gebruiker:</t>
        </r>
        <r>
          <rPr>
            <sz val="9"/>
            <color indexed="81"/>
            <rFont val="Tahoma"/>
            <family val="2"/>
          </rPr>
          <t xml:space="preserve">
In hoeverre komt de geografische herkomst van de data overeen met de delvings- of productielanden van  grondstof of materiaal?</t>
        </r>
      </text>
    </comment>
    <comment ref="O1" authorId="0" shapeId="0" xr:uid="{FFA88482-1FE6-41AB-9DA7-251361DA8C7E}">
      <text>
        <r>
          <rPr>
            <b/>
            <sz val="9"/>
            <color indexed="81"/>
            <rFont val="Tahoma"/>
            <family val="2"/>
          </rPr>
          <t>Gebruiker:</t>
        </r>
        <r>
          <rPr>
            <sz val="9"/>
            <color indexed="81"/>
            <rFont val="Tahoma"/>
            <family val="2"/>
          </rPr>
          <t xml:space="preserve">
In hoeverre sluit de data aan bij de (afzet)markten waarin betreffende grondstof, materiaal of product wordt ingekocht of verhandeld?</t>
        </r>
      </text>
    </comment>
    <comment ref="P1" authorId="0" shapeId="0" xr:uid="{7247EDCE-D1EF-48A7-929D-8BD65414F58F}">
      <text>
        <r>
          <rPr>
            <b/>
            <sz val="9"/>
            <color indexed="81"/>
            <rFont val="Tahoma"/>
            <family val="2"/>
          </rPr>
          <t>Gebruiker:</t>
        </r>
        <r>
          <rPr>
            <sz val="9"/>
            <color indexed="81"/>
            <rFont val="Tahoma"/>
            <family val="2"/>
          </rPr>
          <t xml:space="preserve">
In hoeverre heeft de data betrekking op dezelfde materiaalsoort en toepassing hiervan?</t>
        </r>
      </text>
    </comment>
    <comment ref="J20" authorId="0" shapeId="0" xr:uid="{CA026E0A-9DFB-4D79-BDA0-E96F8AFE5E9F}">
      <text>
        <r>
          <rPr>
            <b/>
            <sz val="9"/>
            <color indexed="81"/>
            <rFont val="Tahoma"/>
            <family val="2"/>
          </rPr>
          <t>Gebruiker:</t>
        </r>
        <r>
          <rPr>
            <sz val="9"/>
            <color indexed="81"/>
            <rFont val="Tahoma"/>
            <family val="2"/>
          </rPr>
          <t xml:space="preserve">
alleen met login/registratie
</t>
        </r>
      </text>
    </comment>
  </commentList>
</comments>
</file>

<file path=xl/sharedStrings.xml><?xml version="1.0" encoding="utf-8"?>
<sst xmlns="http://schemas.openxmlformats.org/spreadsheetml/2006/main" count="2275" uniqueCount="534">
  <si>
    <t>Factor 1</t>
  </si>
  <si>
    <t>Factor 2</t>
  </si>
  <si>
    <t>Factor 3</t>
  </si>
  <si>
    <t>Factor 4</t>
  </si>
  <si>
    <t>Factor 5</t>
  </si>
  <si>
    <t>Factor 6</t>
  </si>
  <si>
    <t>Factor 7</t>
  </si>
  <si>
    <t>Factor 8</t>
  </si>
  <si>
    <t>Prijsstijging</t>
  </si>
  <si>
    <t>Geopolitieke afhankelijkheid</t>
  </si>
  <si>
    <t>Grondstoffen- schaarste</t>
  </si>
  <si>
    <t>Wet- en regelgeving</t>
  </si>
  <si>
    <t>Klantvraag</t>
  </si>
  <si>
    <t>Maatsch. bijdrage &amp; personeel</t>
  </si>
  <si>
    <t>Financierseisen</t>
  </si>
  <si>
    <t>Bedrijfsimpact &amp; omgeving</t>
  </si>
  <si>
    <t>Is de factor relevant?</t>
  </si>
  <si>
    <t>Ja</t>
  </si>
  <si>
    <t>ntb</t>
  </si>
  <si>
    <t>Alleen inzicht subsidies slaat echt aan</t>
  </si>
  <si>
    <t>De factor leek niet te landen, men begon bijvoorbeeld over betrekken van lokale scholen</t>
  </si>
  <si>
    <t>Is de factor voldoende gedefinieerd?</t>
  </si>
  <si>
    <t>Nog breed --&gt; verschillende niveaus, beschikbaarheid tot vervangbaarheid tot afhankelijkheid</t>
  </si>
  <si>
    <t>Nee</t>
  </si>
  <si>
    <t>Definitie testen dmv twee grafieken</t>
  </si>
  <si>
    <t>Is dit een risico of is dit een kans?</t>
  </si>
  <si>
    <t>Risico</t>
  </si>
  <si>
    <t>Keuze testen</t>
  </si>
  <si>
    <t>Kans</t>
  </si>
  <si>
    <t>Keuze maken</t>
  </si>
  <si>
    <t>Weten we hoe we dit zouden (kunnen) visualiseren?</t>
  </si>
  <si>
    <t>Gedeeltelijk</t>
  </si>
  <si>
    <t>Hebben we de benodigde data? Uit betrouwbare bronnen?</t>
  </si>
  <si>
    <t>Alleen voor hout/multiplex, RVS en aluminium</t>
  </si>
  <si>
    <t>Ja, wordt verzameld</t>
  </si>
  <si>
    <t>Wel data maar niet allemaal betrouwbaar</t>
  </si>
  <si>
    <t>Kunnen we dit risico of deze kans kwantificeren in financiële impact?</t>
  </si>
  <si>
    <t>Beperkt</t>
  </si>
  <si>
    <t>Mogelijk</t>
  </si>
  <si>
    <t>Is de factor obv huidige data generaliseerbaar?</t>
  </si>
  <si>
    <t>Ja, met de juiste filtering</t>
  </si>
  <si>
    <t>Vragen</t>
  </si>
  <si>
    <t>Hoe verweven is deze factor met de tweede?</t>
  </si>
  <si>
    <t>Het feit dat het ze zich er niet mee bezig houden betekent niet dat het geen risico is bij aantrekken van nieuwe generaties personeel, zo ik zeggen: we gaan hiermee verder.</t>
  </si>
  <si>
    <t>Gaan we dit verder ontwikkelen?</t>
  </si>
  <si>
    <t>We hebben het hier over de trendlijn in de prijs en afwijkingen</t>
  </si>
  <si>
    <t>Waar gaan we de focus op leggen? Deze is zoals het nu staat erg verweven met grondstoffenschaarste. Vraag/aanbod, afhankelijkheid, vervangbaarheid. We moeten een definitie kiezen (zie eers beschrijving bij factor 3)</t>
  </si>
  <si>
    <t>Komt hier dan het algemene deel van het risico in vraag/aanbod terug met een link naar de kansen in vervangbaarheid? En dat we het als vervolgfactor hebben over geopolitieke afhankelijkheid die ook in deze grondstofkeuzes meegenomen moet worden?</t>
  </si>
  <si>
    <t xml:space="preserve">De oorspronkelijke vraag: Wat is de impact van jouw activiteiten op de omgeving? Maar we kijken nu meer naar de impact van reputatie op versterking concurrentiepositie en versterking klantvertrouwen, een kans. 
Hebben we het hier over de tendens in de maatschappij?
Als we het wel over risico's in de omgeving willen hebben: Waar willen we het hier dan over hebben en wat willen we ermee bereiken? Reputatie en toxiciteit? Of wel of niet lokaal produceren? Gaan we het hebben over risico's: milieueffecten, impact logistieke bewegingen op lokale infra, lokaal draagvlak voor bijv. toekomstige uitbreiding of risico's andere schadelijke omgevingseffecten? 
</t>
  </si>
  <si>
    <t xml:space="preserve">&lt;leveringszekerheid als categorie, samen met schaarste en levertijdfluctuatie&gt; </t>
  </si>
  <si>
    <t>&lt;We gaan we in beide vormen testen: 1. Risico met op achtergrond kansen (38) 2. Kans van groeiende groene markt&gt;
&lt;hebben we hier nog een overzicht van de toenemende eisen vanuit bedrijven en overheid, inkoop en aanbestedingsvoorwaarden&gt;</t>
  </si>
  <si>
    <t>&lt;op voorgrond tekort aan arbeidskracht, daarachter meer diepteonderzoek naar praktisch/technisch personeel en behoefte aan duurzaamheid in hun werk, met mogelijk meer aanvullende info over kansen PwC etc.&gt;, &lt;Kunnen we nog iets met de grafiek van onderzoek over ethiek en overtuigingen&gt;</t>
  </si>
  <si>
    <t xml:space="preserve">&lt;een visualisatie mer risicobalkjes voor de grondstoffen die geselecteerd zijn&gt; </t>
  </si>
  <si>
    <t>&lt;dashboard weer visualisatie met risicobalkjes&gt;</t>
  </si>
  <si>
    <t>Eerst een definitie keuze maken</t>
  </si>
  <si>
    <t>Risico: De risk scorecard is nog alleen tekst, kunnen we hier iets met een checklist die de ondernemer in kan vullen om het vakje een rating te geven?
Kans: De subsidies met de kleurenschaal geeft een beeld</t>
  </si>
  <si>
    <t>Is de data voor spaanplaat, MDF plaatmateriaal, schuim en textiel  ook beschikbaar?</t>
  </si>
  <si>
    <t>Nagaan van de betrouwbare marktdata voor de groei op slide 38</t>
  </si>
  <si>
    <t>Waar gaan we hier werkelijk betrouwbare data over vinden? Zijn consultancy papers genoeg anders worden het vaak recruitment- of pensioenbureaus</t>
  </si>
  <si>
    <t>In kaart brengen van gevolgen non-compliance per wet</t>
  </si>
  <si>
    <t>Houden we het op een kans of kunnen we dit ombuigen naar risico? Bijv dat dit een steeds groter gedeelte van de markt gaat worden en dan baseren op filters hoe we potentie tonen bijv.</t>
  </si>
  <si>
    <t>De huidige data is sectorspecifiek opgezocht</t>
  </si>
  <si>
    <t>Factor</t>
  </si>
  <si>
    <t>Thema</t>
  </si>
  <si>
    <t>Subthema</t>
  </si>
  <si>
    <t>Data gevonden</t>
  </si>
  <si>
    <t>Periode</t>
  </si>
  <si>
    <t>Bron</t>
  </si>
  <si>
    <t>Betrouwbaarheid</t>
  </si>
  <si>
    <t>Lengte van periode</t>
  </si>
  <si>
    <t>Datapunten in de tijd</t>
  </si>
  <si>
    <t>Actualiteit van de data</t>
  </si>
  <si>
    <t xml:space="preserve">Geografische/ markt volledigheid
</t>
  </si>
  <si>
    <t xml:space="preserve"> A: Geografische correlatie </t>
  </si>
  <si>
    <t xml:space="preserve"> B: Aansluiting op markt</t>
  </si>
  <si>
    <t>Technologische correlatie</t>
  </si>
  <si>
    <t>Kwaliteitsscore</t>
  </si>
  <si>
    <t>Betrouwbaarheid bron</t>
  </si>
  <si>
    <t>Branche- specifiek nodig</t>
  </si>
  <si>
    <t>Branche- specifieke data (indien nodig)</t>
  </si>
  <si>
    <t>Data scope</t>
  </si>
  <si>
    <t>MVP Prototype / Golden Path</t>
  </si>
  <si>
    <t>Nog te doen</t>
  </si>
  <si>
    <t>Taakhouder</t>
  </si>
  <si>
    <t>Deadline</t>
  </si>
  <si>
    <t>Gereed</t>
  </si>
  <si>
    <t>Algemeen</t>
  </si>
  <si>
    <t>Vervangbaarheid</t>
  </si>
  <si>
    <t>Wat zijn de juiste critertia voor vervangbaarheid? Beschikbaarheid houtsoort, levensduur en kwaliteit, toepassingsmogelijkheden</t>
  </si>
  <si>
    <t>Prijsstijgingen</t>
  </si>
  <si>
    <t>Hout</t>
  </si>
  <si>
    <t>2020 tot nu</t>
  </si>
  <si>
    <t xml:space="preserve">EUROSTAT </t>
  </si>
  <si>
    <t>Betrouwbaar</t>
  </si>
  <si>
    <t>nvt</t>
  </si>
  <si>
    <t>Gold</t>
  </si>
  <si>
    <t>Meer historische gegevens nodig</t>
  </si>
  <si>
    <t>Hout: massief</t>
  </si>
  <si>
    <t>Beuken (regels)</t>
  </si>
  <si>
    <t>maatwerk</t>
  </si>
  <si>
    <t>Fins vuren</t>
  </si>
  <si>
    <t>Eiken</t>
  </si>
  <si>
    <t>Amerikaans noten</t>
  </si>
  <si>
    <t>Hout: spaanplaat</t>
  </si>
  <si>
    <t>OSB (Oriented Strand Board, grove houtschilferplaat)</t>
  </si>
  <si>
    <t>nee</t>
  </si>
  <si>
    <t>HPL (High Pressure Laminate)</t>
  </si>
  <si>
    <t>spaanplaat (fiber board)</t>
  </si>
  <si>
    <t>FAOSTAT</t>
  </si>
  <si>
    <t>MDF (Medium Density Fibreboard, houtvezel/zaagselplaat)</t>
  </si>
  <si>
    <t>Multiplex (o.a. beuken, berken)</t>
  </si>
  <si>
    <t xml:space="preserve">Triplex </t>
  </si>
  <si>
    <t>Metaal</t>
  </si>
  <si>
    <t>EUROSTAT</t>
  </si>
  <si>
    <t>x</t>
  </si>
  <si>
    <t>weggehaald</t>
  </si>
  <si>
    <t>RVS 305</t>
  </si>
  <si>
    <t>10 jaar</t>
  </si>
  <si>
    <t>London Metal Exchange + outokumpu surcharge data</t>
  </si>
  <si>
    <t>Nog meer historische gegevens nodig?</t>
  </si>
  <si>
    <t>Aluminium</t>
  </si>
  <si>
    <t>London Metal Exchange</t>
  </si>
  <si>
    <t>Schuim</t>
  </si>
  <si>
    <t>Polyurethaanschuim LC 2A-6A</t>
  </si>
  <si>
    <t>https://fred.stlouisfed.org/series/PCU32615032615041</t>
  </si>
  <si>
    <t>ja</t>
  </si>
  <si>
    <t>Polyether LP 1A-6A</t>
  </si>
  <si>
    <t>Via andere grondstof</t>
  </si>
  <si>
    <t>Textiel</t>
  </si>
  <si>
    <t>Katoen</t>
  </si>
  <si>
    <t>sinds 1990</t>
  </si>
  <si>
    <t>World Bank/IMF (via https://fred.stlouisfed.org)</t>
  </si>
  <si>
    <t>Wol</t>
  </si>
  <si>
    <t>Leer</t>
  </si>
  <si>
    <t>Plastics</t>
  </si>
  <si>
    <t>Thermoloft (non/woven)</t>
  </si>
  <si>
    <t>1985 tot nu</t>
  </si>
  <si>
    <t>U.S. Bureau of Labor Statistics via FRED (r)</t>
  </si>
  <si>
    <t>USA</t>
  </si>
  <si>
    <r>
      <t xml:space="preserve">Evt later toevoegen: data van </t>
    </r>
    <r>
      <rPr>
        <u/>
        <sz val="10"/>
        <color rgb="FF1155CC"/>
        <rFont val="Arial"/>
        <family val="2"/>
      </rPr>
      <t>https://www.plasticportal.eu/price-reports</t>
    </r>
    <r>
      <rPr>
        <sz val="10"/>
        <color rgb="FF000000"/>
        <rFont val="Arial"/>
        <family val="2"/>
        <scheme val="minor"/>
      </rPr>
      <t xml:space="preserve"> om de scope te wijzigen naar EU.
Uitzoeken met expert of deze allemaal relevant dan wel verschillend zijn</t>
    </r>
  </si>
  <si>
    <t>LDPE</t>
  </si>
  <si>
    <t>2012 tot nu</t>
  </si>
  <si>
    <t>HD/NSA</t>
  </si>
  <si>
    <t>PE</t>
  </si>
  <si>
    <t>Zacht PVC</t>
  </si>
  <si>
    <t>Optie: alternatieven</t>
  </si>
  <si>
    <t>Biocomposiet</t>
  </si>
  <si>
    <t>2010 tot nu</t>
  </si>
  <si>
    <t>Risicoscore bepaling</t>
  </si>
  <si>
    <t>Formule risicoclassificering</t>
  </si>
  <si>
    <t>Bepalen leidende formule voor risicoclassificering obv trends in stijging en volaititeit, meewegend seizoensinvloeden en evt. event/jump risk. Aan de hand van bestaande formules EU</t>
  </si>
  <si>
    <t>Pieter/Kasper</t>
  </si>
  <si>
    <t>Leveringszekerheid: Reserves/aanbod</t>
  </si>
  <si>
    <t>10 okt met Tony</t>
  </si>
  <si>
    <t>ntb, nav inventarisatie Bente</t>
  </si>
  <si>
    <t>maatwerk (Eiken Duitsland onder druk, uitwijken naar Oost Europa</t>
  </si>
  <si>
    <t>Hout: plaatmateriaal</t>
  </si>
  <si>
    <t>Leveringszekerheid: Geopolitiek risico</t>
  </si>
  <si>
    <t>2026 (data source 2024 + 2025)</t>
  </si>
  <si>
    <t>https://worldstainless.org/media/press-releases/worldstainless-releases-stainless-steel-melt-shop-production-for-q1-2025</t>
  </si>
  <si>
    <t>https://ourworldindata.org/metals-minerals#explore-data-on-metals-and-minerals</t>
  </si>
  <si>
    <t>https://comtradeplus.un.org/TradeFlow</t>
  </si>
  <si>
    <t>https://www.reportlinker.com/dataset/e78005252282d913fc57561f9dfba07df4bfd1c6?%20https://www.nationmaster.com/nmx/ranking/production-of-polyurethanes-in-primary-forms%20%7C%20https://www.nationmaster.com/nmx/ranking/production-of-isocyanates</t>
  </si>
  <si>
    <t>UN Comtrade</t>
  </si>
  <si>
    <t>https://worldpopulationreview.com/country-rankings/textile-exports-by-country</t>
  </si>
  <si>
    <t>https://worldpopulationreview.com/country-rankings/cotton-production-by-country</t>
  </si>
  <si>
    <t>https://icac.shinyapps.io/ICAC_Open_Data_Dashboaard/#</t>
  </si>
  <si>
    <t>https://www.fao.org/faostat/en/#home</t>
  </si>
  <si>
    <t>PE_TheFacts_25_digital-1pager-scrollable.pdf</t>
  </si>
  <si>
    <t>Polyglobe Polymer Capacities Worldwide 2021/2026</t>
  </si>
  <si>
    <t xml:space="preserve">Leveringszekerheid: Levertijd/logistiek risico
</t>
  </si>
  <si>
    <t>FAO/FAOSTAT Forestry particle board</t>
  </si>
  <si>
    <t>FAO/FAOSTAT Forestry fibreboard</t>
  </si>
  <si>
    <t>FAO/FAOSTAT Forestry plywood</t>
  </si>
  <si>
    <t>via multiplex</t>
  </si>
  <si>
    <t>Marktrisico</t>
  </si>
  <si>
    <t>CAGR eco-friendly meubels</t>
  </si>
  <si>
    <t>GVR</t>
  </si>
  <si>
    <t>Wereld</t>
  </si>
  <si>
    <t>Mogelijk lokale scope zoeken</t>
  </si>
  <si>
    <t>Jochanan</t>
  </si>
  <si>
    <t>Market.us</t>
  </si>
  <si>
    <t>Statista</t>
  </si>
  <si>
    <t>Productiebelemmering</t>
  </si>
  <si>
    <t>2023 t/m 2024</t>
  </si>
  <si>
    <t>CBM</t>
  </si>
  <si>
    <t>Nederland</t>
  </si>
  <si>
    <t>Is deze wel nodig?</t>
  </si>
  <si>
    <t>Marktkans</t>
  </si>
  <si>
    <t>Klantkeuze voor duurzaam</t>
  </si>
  <si>
    <t>H1 2025</t>
  </si>
  <si>
    <t>CBM; Q&amp;A Retail</t>
  </si>
  <si>
    <t>Klantwens vs afzet</t>
  </si>
  <si>
    <t>Milieu Centraal</t>
  </si>
  <si>
    <t>Behouden?</t>
  </si>
  <si>
    <t>Rijkswaterstaat</t>
  </si>
  <si>
    <t>Voorkeur voor lokale productie</t>
  </si>
  <si>
    <t>Prijspremium voor duurzaamheid</t>
  </si>
  <si>
    <t>Statista (survey)</t>
  </si>
  <si>
    <t>PwC</t>
  </si>
  <si>
    <t>Marktspecifieke data</t>
  </si>
  <si>
    <t>Product- en ontwerpregels</t>
  </si>
  <si>
    <t>Landingspagina</t>
  </si>
  <si>
    <t>Tekst finetunen</t>
  </si>
  <si>
    <t>Carlijn</t>
  </si>
  <si>
    <t>Bijna</t>
  </si>
  <si>
    <t>ESPR</t>
  </si>
  <si>
    <t>IEEP</t>
  </si>
  <si>
    <t>Onbekend</t>
  </si>
  <si>
    <t>Circulaw</t>
  </si>
  <si>
    <t>Europees</t>
  </si>
  <si>
    <t>UPV</t>
  </si>
  <si>
    <t>Voorbeeld</t>
  </si>
  <si>
    <t>Stichting Open</t>
  </si>
  <si>
    <t>Verpact</t>
  </si>
  <si>
    <t>Stichting UPV Textiel</t>
  </si>
  <si>
    <t>Rapportage en transparantie</t>
  </si>
  <si>
    <t>CSRD</t>
  </si>
  <si>
    <t>RVO</t>
  </si>
  <si>
    <t>H2 2025</t>
  </si>
  <si>
    <t>Kamer van Koophandel</t>
  </si>
  <si>
    <t>DPP</t>
  </si>
  <si>
    <t>TNO</t>
  </si>
  <si>
    <t>EU Taxonomy</t>
  </si>
  <si>
    <t>European Commission</t>
  </si>
  <si>
    <t>Due dilligence en keten- verantwoordelijkheid</t>
  </si>
  <si>
    <t>EUDR</t>
  </si>
  <si>
    <t>EUDR Compliance</t>
  </si>
  <si>
    <t>Verdiepend onderzoek nodig</t>
  </si>
  <si>
    <t>Bureau Veritas</t>
  </si>
  <si>
    <t>CSDDD</t>
  </si>
  <si>
    <t>Deloitte</t>
  </si>
  <si>
    <t>Belasting van vervuiling</t>
  </si>
  <si>
    <t>CO2-beprijzing</t>
  </si>
  <si>
    <t>DNB</t>
  </si>
  <si>
    <t>CBAM</t>
  </si>
  <si>
    <t>Douane.nl</t>
  </si>
  <si>
    <t>Wordt herzien!!</t>
  </si>
  <si>
    <t>Personeel</t>
  </si>
  <si>
    <t>Relevantie</t>
  </si>
  <si>
    <t>Productiebelemmering (conj.mon.)</t>
  </si>
  <si>
    <t>Concurrentie in werving</t>
  </si>
  <si>
    <t>2022</t>
  </si>
  <si>
    <t xml:space="preserve">SEO; Min. OCW, EZK, SZW </t>
  </si>
  <si>
    <t>Kans/risico</t>
  </si>
  <si>
    <t>Prioriteiten werknemers en -zoekers</t>
  </si>
  <si>
    <t>McKinsey; Forbes; Deloitte; PwC</t>
  </si>
  <si>
    <t>Aantrekkingskracht van duurzaamheid richting techniek</t>
  </si>
  <si>
    <t>2024</t>
  </si>
  <si>
    <t>ROVC (TechBarometer)</t>
  </si>
  <si>
    <t>Afwijzing Gen Z/Milenials van werkgevers en opdrachten op basis van ethiek en overtuiging</t>
  </si>
  <si>
    <t>Deloitte (survey)</t>
  </si>
  <si>
    <t>Employer branding</t>
  </si>
  <si>
    <t>Certificeringen</t>
  </si>
  <si>
    <t>Subsidies en financierseisen</t>
  </si>
  <si>
    <t>Kans: subsidies algemeen</t>
  </si>
  <si>
    <t>Visualisatie subsidies</t>
  </si>
  <si>
    <t>Oppervlakkig</t>
  </si>
  <si>
    <t>Heroverwegen</t>
  </si>
  <si>
    <t>Kansen Nederlandse subsidies</t>
  </si>
  <si>
    <t>MIT - Haalbaarheid (link PZH)</t>
  </si>
  <si>
    <t>Provincie Zuid-Holland</t>
  </si>
  <si>
    <t>Nederlands</t>
  </si>
  <si>
    <t>TSE Industrie - Studies</t>
  </si>
  <si>
    <t>Regeling Topsector Energie</t>
  </si>
  <si>
    <t>MIT - R&amp;D</t>
  </si>
  <si>
    <t>DEI+ - Circulaire Economie</t>
  </si>
  <si>
    <t>MIA\Vamil</t>
  </si>
  <si>
    <t>CKP – Circulaire Ketenprojecten</t>
  </si>
  <si>
    <t>EFRO (Regionaal)</t>
  </si>
  <si>
    <t>Kansen EU-subsidies</t>
  </si>
  <si>
    <t>ERDF - Circular Economy</t>
  </si>
  <si>
    <t>COST Action - Circular Economy Innovation</t>
  </si>
  <si>
    <t>Horizon</t>
  </si>
  <si>
    <t>&lt;uitbreiden&gt;</t>
  </si>
  <si>
    <t>-</t>
  </si>
  <si>
    <t>Risico: Financierseisen</t>
  </si>
  <si>
    <t>Circular Risk Scorecard</t>
  </si>
  <si>
    <t>voorfase</t>
  </si>
  <si>
    <t>Score</t>
  </si>
  <si>
    <t>Toelichting</t>
  </si>
  <si>
    <r>
      <t xml:space="preserve">Betrouwbaarheid
</t>
    </r>
    <r>
      <rPr>
        <i/>
        <sz val="10"/>
        <color rgb="FF000000"/>
        <rFont val="Arial"/>
        <family val="2"/>
      </rPr>
      <t>In welke mate zijn de gebruikte bronnen gekwalificeerd en is de data verifieerbaar?</t>
    </r>
  </si>
  <si>
    <t>Geverifieerde gegevens op basis van metingen (Geverifieerde gegevens op basis van een gekwalificeerde bron)</t>
  </si>
  <si>
    <t>Geverifieerde gegevens die deels gebaseerd zijn op aannames of niet-geverifieerde gegevens die gebaseerd zijn op metingen 
(niet-verifieerbare gegevens van een gekwalificeerde bron)</t>
  </si>
  <si>
    <t>Niet-geverifieerde gegevens, deels gebaseerd op gekwalificeerde schattingen.</t>
  </si>
  <si>
    <t>Gekwalificeerde inschatting (bijv. door een industrieel expert)</t>
  </si>
  <si>
    <t>Niet-gekwalificeerde schattingen*</t>
  </si>
  <si>
    <t xml:space="preserve">Geeft aan in hoeverre de data is gebaseerd op metingen, verificatie en gekwalificeerde bronnen, versus aannames en (ongekwalificeerde) schattingen.
</t>
  </si>
  <si>
    <r>
      <t xml:space="preserve">Lengte van periode
</t>
    </r>
    <r>
      <rPr>
        <i/>
        <sz val="10"/>
        <color rgb="FF000000"/>
        <rFont val="Arial"/>
        <family val="2"/>
      </rPr>
      <t xml:space="preserve">
Geeft de data een volledig beeld in de tijd?</t>
    </r>
  </si>
  <si>
    <t>Representatieve gegevens over een voldoende lange periode (5-10 jaar) om inzicht te hebben in de ontwikkeling.</t>
  </si>
  <si>
    <t>Representatieve gegevens over een relatief lange periode (2-5 jaar), maar niet voldoende om inzicht te hebben in de ontwikkeling hiervan.</t>
  </si>
  <si>
    <t>Representatieve gegevens over een beperkte periode(half tot 2 jaar), waarin slechts een deel van de ontwikkeling zichtbaar is.</t>
  </si>
  <si>
    <t>Gegevens gebaseerd op een zeer korte periode of op één meetmoment (één punt in de tijd).</t>
  </si>
  <si>
    <t>De temporele representativiteit is onbekend of de gegevens zijn gebaseerd op aannames zonder duidelijke tijdsafbakening.*</t>
  </si>
  <si>
    <t xml:space="preserve">Volledigheid in datapunten met nuttige interval om inzicht te krijgen in ontwikkelingen in de tijd
</t>
  </si>
  <si>
    <r>
      <t xml:space="preserve">Datapunten in de tijd
</t>
    </r>
    <r>
      <rPr>
        <i/>
        <sz val="10"/>
        <color rgb="FF000000"/>
        <rFont val="Arial"/>
        <family val="2"/>
      </rPr>
      <t xml:space="preserve">Wat is de spreiding/interval van datapunten in de tijd?
</t>
    </r>
  </si>
  <si>
    <t>Maandelijks</t>
  </si>
  <si>
    <t>Kwartaal</t>
  </si>
  <si>
    <t>Jaarlijks</t>
  </si>
  <si>
    <t>Meerjaars</t>
  </si>
  <si>
    <t>Geeft aan wat de spreiding/interval is tussen de datapunten in de tijd</t>
  </si>
  <si>
    <r>
      <t xml:space="preserve">Actualiteit van de data
</t>
    </r>
    <r>
      <rPr>
        <i/>
        <sz val="10"/>
        <color rgb="FF000000"/>
        <rFont val="Arial"/>
        <family val="2"/>
      </rPr>
      <t xml:space="preserve">Hoe actueel is de data?
</t>
    </r>
  </si>
  <si>
    <t>Afgelopen halfjaar</t>
  </si>
  <si>
    <t>Afgelopen jaar</t>
  </si>
  <si>
    <t>Afgelopen 2 jaar</t>
  </si>
  <si>
    <t>Afgelopen 3 jaar</t>
  </si>
  <si>
    <t>Afgelopen 5 jaar*</t>
  </si>
  <si>
    <t xml:space="preserve">Geeft aan hoe actueel het meest recente datapunt is
</t>
  </si>
  <si>
    <r>
      <t xml:space="preserve">Geografische/markt volledigheid
</t>
    </r>
    <r>
      <rPr>
        <i/>
        <sz val="10"/>
        <color rgb="FF000000"/>
        <rFont val="Arial"/>
        <family val="2"/>
      </rPr>
      <t xml:space="preserve">
Geeft de data een volledig beeld van relevante locatiepunten?</t>
    </r>
  </si>
  <si>
    <t>Representatieve gegevens van alle voor de betreffende markt relevante locaties.</t>
  </si>
  <si>
    <t>Representatieve gegevens van het merendeel (&gt;50%) van de voor de markt relevante locaties.</t>
  </si>
  <si>
    <t>Representatieve gegevens van een beperkt aantal (&lt;50%) van de voor de markt relevante locaties.</t>
  </si>
  <si>
    <t>Gegevens afkomstig van één dominante locatie of van enkele sterk vergelijkbare locaties binnen de markt.</t>
  </si>
  <si>
    <t>De geografische/ marktrepresentativiteit is onbekend of de gegevens zijn afkomstig van een niet-representatief deel van de markt.*</t>
  </si>
  <si>
    <t xml:space="preserve">Volledigheid van locaties om een inzicht te geven in de markt. (afhankelijk van branche)
</t>
  </si>
  <si>
    <r>
      <t xml:space="preserve"> A: Geografische correlatie 
</t>
    </r>
    <r>
      <rPr>
        <i/>
        <sz val="10"/>
        <color rgb="FF000000"/>
        <rFont val="Arial"/>
        <family val="2"/>
      </rPr>
      <t>In hoeverre komt de geografische herkomst van de data overeen met de delvings- of productielanden van  grondstof of materiaal?</t>
    </r>
  </si>
  <si>
    <t>Gegevens afkomstig uit het specifieke land of gebied waar de grondstof primair wordt gewonnen of geproduceerd</t>
  </si>
  <si>
    <t>Gegevens afkomstig uit een groter geografisch gebied (bijv. regio of landengroep) waarin het relevante productiegebied ligt, met hoge representativiteit</t>
  </si>
  <si>
    <r>
      <t xml:space="preserve">Gegevens afkomstig uit meerdere belangrijke productie- of delvingslanden van de grondstof, maar niet uitgesplitst naar het </t>
    </r>
    <r>
      <rPr>
        <b/>
        <sz val="10"/>
        <color theme="1"/>
        <rFont val="Arial"/>
        <family val="2"/>
      </rPr>
      <t>primaire herkomstgebied</t>
    </r>
  </si>
  <si>
    <t>Gegevens op globaal of internationaal niveau (bijv. wereldmarktprijzen of mondiale beschikbaarheid), met beperkte directe relatie tot specifieke productiegebieden</t>
  </si>
  <si>
    <t>Gegevens zonder aantoonbare geografische koppeling*</t>
  </si>
  <si>
    <t xml:space="preserve">Geeft aan hoe relevant de data is voor betreffende grondstof of materiaal.
</t>
  </si>
  <si>
    <r>
      <t xml:space="preserve"> B: Aansluiting op markt
</t>
    </r>
    <r>
      <rPr>
        <i/>
        <sz val="10"/>
        <color rgb="FF000000"/>
        <rFont val="Arial"/>
        <family val="2"/>
      </rPr>
      <t>In hoeverre sluit de data aan bij de (afzet)markten waarin betreffende grondstof, materiaal of product wordt ingekocht of verhandeld?</t>
    </r>
  </si>
  <si>
    <t>Nederlandse markt</t>
  </si>
  <si>
    <t>Benelux/Duitse/West-Europese markt</t>
  </si>
  <si>
    <t>Europese markt</t>
  </si>
  <si>
    <t>Wereldwijde markt</t>
  </si>
  <si>
    <t>Niet Europese markt*</t>
  </si>
  <si>
    <t xml:space="preserve">Geeft aan hoe relevant de data is voor de focale verkoop- en exportmarkten. (afhankelijk van branche)
</t>
  </si>
  <si>
    <r>
      <t xml:space="preserve">Technologische correlatie
</t>
    </r>
    <r>
      <rPr>
        <i/>
        <sz val="10"/>
        <color rgb="FF000000"/>
        <rFont val="Arial"/>
        <family val="2"/>
      </rPr>
      <t xml:space="preserve">
In hoeverre heeft de data betrekking op dezelfde materiaalsoort en toepassing hiervan?
</t>
    </r>
  </si>
  <si>
    <t>Zelfde materiaal, zelfde toepassing (halffabricaat)</t>
  </si>
  <si>
    <t>Zelfde materiaal, in primaire vorm (granulaat/grondstof)</t>
  </si>
  <si>
    <t xml:space="preserve">Zelfde materiaalfamilie
</t>
  </si>
  <si>
    <t>Vergelijkbaar materiaal en een andere toepassing*</t>
  </si>
  <si>
    <t>Technologische correlatie is onbekend of het materiaal en de toepassing verschillen wezenlijk*</t>
  </si>
  <si>
    <t xml:space="preserve">Geeft aan hoe goed de data de marktdynamiek van grondstof, materiaal of product weerspiegelt. (afhankelijk van branche)
</t>
  </si>
  <si>
    <t>* deze data niet opnemen in database</t>
  </si>
  <si>
    <t>Betrouwbaarheidindicatie ECOINVENT</t>
  </si>
  <si>
    <t>Link</t>
  </si>
  <si>
    <t>Geografische markt / volledigheid</t>
  </si>
  <si>
    <t>A: Geografische correlatie</t>
  </si>
  <si>
    <t>B: Aansluiting op markt</t>
  </si>
  <si>
    <t>2020 tot nu (maandelijks), lijkt terug te gaan naar 1975</t>
  </si>
  <si>
    <t>EUROSTAT (manufacture of basic metals)</t>
  </si>
  <si>
    <t>EUROSTAT (https://ec.europa.eu/eurostat/databrowser/view/sts_inppd_m__custom_20031996/default/table)</t>
  </si>
  <si>
    <t xml:space="preserve">London Metal Exchange + outokumpu surcharge data  </t>
  </si>
  <si>
    <t>10 jaar. Lijkt tm 5 jaar terug makkelijker vrij beschikbaar?</t>
  </si>
  <si>
    <t>London Metal Exchange(https://www.lme.com/metals/non-ferrous/lme-aluminium#Price+graphs)</t>
  </si>
  <si>
    <t>3, alleen met login/registratie</t>
  </si>
  <si>
    <t>2013 tot nu (maandelijks)</t>
  </si>
  <si>
    <t>Producer Price Index by Commodity: Rubber and Plastic Products: Foam Components for Furniture (WPU07260305) | FRED | St. Louis Fed</t>
  </si>
  <si>
    <t>2015 tot nu (maandelijks)</t>
  </si>
  <si>
    <t>sinds 1990 (maandelijks)</t>
  </si>
  <si>
    <t>Browse and Download Our Databases | UNIDO Statistics Portal</t>
  </si>
  <si>
    <t>1985 tot nu (maandelijks)</t>
  </si>
  <si>
    <t>https://fred.stlouisfed.org/series/PCU3132303132301</t>
  </si>
  <si>
    <t>2012 tot nu (maandelijks)</t>
  </si>
  <si>
    <t>Producer Price Index by Commodity: Rubber and Plastic Products: Unlaminated Polyethylene Film and Sheet (WPU072205011) | FRED | St. Louis Fed</t>
  </si>
  <si>
    <t>2010 tot nu (maandelijks)</t>
  </si>
  <si>
    <t>2020-2024</t>
  </si>
  <si>
    <t>https://worldsteel.org/data/annual-production-steel-data/?ind=P1_crude_steel_total_pub/CHN/IND(2020-2024)</t>
  </si>
  <si>
    <t>1970-2024</t>
  </si>
  <si>
    <t>2025/2026 (gaat terug tot 1945/1946)</t>
  </si>
  <si>
    <t>https://apps.fas.usda.gov/psdonline/app/index.html#/app/topCountriesByCommodity</t>
  </si>
  <si>
    <t>2024, met gebruik data 2023</t>
  </si>
  <si>
    <t>The World's Top 10 Wool Producing Countries</t>
  </si>
  <si>
    <t>2019/2021</t>
  </si>
  <si>
    <t>2021-2027</t>
  </si>
  <si>
    <t>FAO/FAOSTAT Forestry</t>
  </si>
  <si>
    <t>2022 t/m 2030</t>
  </si>
  <si>
    <t>Klantkeuze &amp; duurzaamheid</t>
  </si>
  <si>
    <t>Y2 2024</t>
  </si>
  <si>
    <t>CBM, Q&amp;A Retail</t>
  </si>
  <si>
    <t>Gap Intentie vs. verkoop</t>
  </si>
  <si>
    <t>Onderzoek 2023</t>
  </si>
  <si>
    <t>Milieu Centraal; Rijkswaterstaat</t>
  </si>
  <si>
    <t>B2C</t>
  </si>
  <si>
    <t>B2B</t>
  </si>
  <si>
    <t>Projecten/Overheid</t>
  </si>
  <si>
    <t>Betalingsbreidheid</t>
  </si>
  <si>
    <t>Duitsland</t>
  </si>
  <si>
    <t>Visualisatie testen</t>
  </si>
  <si>
    <t>update v. analyse nodig</t>
  </si>
  <si>
    <t>opdelen in subsidies per fase</t>
  </si>
  <si>
    <t>Worldpopulationreview</t>
  </si>
  <si>
    <t>Worldstainless</t>
  </si>
  <si>
    <t>Steel Production by Country 2026</t>
  </si>
  <si>
    <t>2021-2025</t>
  </si>
  <si>
    <t>2019-2023</t>
  </si>
  <si>
    <t>Q1-2023/ Q1-2025</t>
  </si>
  <si>
    <t>ISSF Stainless Steel in Figures</t>
  </si>
  <si>
    <t>World Steel Crude Steel Production</t>
  </si>
  <si>
    <t>1973-2025</t>
  </si>
  <si>
    <t>Our World in Data</t>
  </si>
  <si>
    <t>Primary Aluminium  International Aluminium Institute</t>
  </si>
  <si>
    <t>https://stat.unido.org/data/table</t>
  </si>
  <si>
    <t>1940-2026</t>
  </si>
  <si>
    <t>International cotton advisory</t>
  </si>
  <si>
    <t>Wool Production by Country 2026</t>
  </si>
  <si>
    <t>https://www.fao.org/faostat/en/</t>
  </si>
  <si>
    <t>Plastics Europe</t>
  </si>
  <si>
    <t>Global new production capacity Statista</t>
  </si>
  <si>
    <t>2019 en 2021</t>
  </si>
  <si>
    <t>Leveringszekerheid</t>
  </si>
  <si>
    <t>Hiaat</t>
  </si>
  <si>
    <t>Data gebruikt</t>
  </si>
  <si>
    <t>Geen productiedata voor thermoloft non-woven, alleen exportdata</t>
  </si>
  <si>
    <t>Geen data te vinden</t>
  </si>
  <si>
    <t>Leveringszekerheid: Geopolitiek risico (productie)</t>
  </si>
  <si>
    <t xml:space="preserve">Leveringszekerheid: Geopolitiek risico (stabiliteit van regio)
</t>
  </si>
  <si>
    <t>Algemene stabiliteit</t>
  </si>
  <si>
    <t>Geopolitiek</t>
  </si>
  <si>
    <t>https://www.worldbank.org/en/publication/worldwide-governance-indicators/interactive-data-access</t>
  </si>
  <si>
    <t>Profilering</t>
  </si>
  <si>
    <t>Q2 2025</t>
  </si>
  <si>
    <t>Klant</t>
  </si>
  <si>
    <t>Opdrachtgever</t>
  </si>
  <si>
    <t>Duurzaamheid factor in loopbaankeuze</t>
  </si>
  <si>
    <t>B Corp</t>
  </si>
  <si>
    <t>Impact van B-corp op houding, aankoopintentie en prijspremie</t>
  </si>
  <si>
    <t>Bcorp</t>
  </si>
  <si>
    <t>Q1 2024</t>
  </si>
  <si>
    <t>Atlanta Marketing Journal</t>
  </si>
  <si>
    <t>B Corp brand awareness</t>
  </si>
  <si>
    <t>CSR Tools</t>
  </si>
  <si>
    <t>Retentie van werknemers: ESG als succesfactor</t>
  </si>
  <si>
    <t>Verkoopgroei door duurzame merken (oa Unilever)</t>
  </si>
  <si>
    <t>Eurostat (C13)</t>
  </si>
  <si>
    <t>Eurostat (C15)</t>
  </si>
  <si>
    <t>Eurostat (C2221)</t>
  </si>
  <si>
    <t>FRED</t>
  </si>
  <si>
    <t>Eurostat (C1395)</t>
  </si>
  <si>
    <t>Prestatlieddar Circulair</t>
  </si>
  <si>
    <t>KIWA</t>
  </si>
  <si>
    <t>CO₂‑Prestatieladder</t>
  </si>
  <si>
    <t>FSC</t>
  </si>
  <si>
    <t>PEFC</t>
  </si>
  <si>
    <t>GREENGUARD</t>
  </si>
  <si>
    <t>Blue Angel (Der Blaue Engel)</t>
  </si>
  <si>
    <t>EcoLabel</t>
  </si>
  <si>
    <t>Cradle to cradle</t>
  </si>
  <si>
    <t>Natureplus</t>
  </si>
  <si>
    <t>SKAO</t>
  </si>
  <si>
    <t>Sustanea</t>
  </si>
  <si>
    <t>Artisan Furniture</t>
  </si>
  <si>
    <t>BouwProfi</t>
  </si>
  <si>
    <t>ArtisanFurniture</t>
  </si>
  <si>
    <t>cradletocradle</t>
  </si>
  <si>
    <t>Natureplus Insitute</t>
  </si>
  <si>
    <t>FRED unlaminated sheet</t>
  </si>
  <si>
    <t>2015-2022</t>
  </si>
  <si>
    <t>RIVM</t>
  </si>
  <si>
    <t>Inzet aanbestedingen op MVOI-eisen</t>
  </si>
  <si>
    <t>MVI-criteriatool obv ambitieniveau kantoormeubilair</t>
  </si>
  <si>
    <t>Rijksoverheid</t>
  </si>
  <si>
    <t>Overheid.nl</t>
  </si>
  <si>
    <t>Doelstelling circulaire inkoop 10% in 2020</t>
  </si>
  <si>
    <t>Doelstelling 50% minder primair grondstofgebruik 2030</t>
  </si>
  <si>
    <t>Doelstelling Nederland is in 2050 volledig circulair</t>
  </si>
  <si>
    <t>Rijksoverheid.nl</t>
  </si>
  <si>
    <t>Plastics Polymer prices | PlasticPortal</t>
  </si>
  <si>
    <t>2017 tot nu</t>
  </si>
  <si>
    <t>Gerecycled kunststof</t>
  </si>
  <si>
    <t>1999 tot nu</t>
  </si>
  <si>
    <t>2017 to nu</t>
  </si>
  <si>
    <t>2012 tot 2025</t>
  </si>
  <si>
    <t>2013 tm 2025</t>
  </si>
  <si>
    <t>Partnerschappen en coalities</t>
  </si>
  <si>
    <t>CSIL</t>
  </si>
  <si>
    <t>Meubelmarkt B2B</t>
  </si>
  <si>
    <t>Meubelmarkt B2C</t>
  </si>
  <si>
    <t>Eurostat (C25)</t>
  </si>
  <si>
    <t>Eurostat (C2016)</t>
  </si>
  <si>
    <t>Circufoam</t>
  </si>
  <si>
    <t>Gerecycled schuim</t>
  </si>
  <si>
    <t>2015 tot nu</t>
  </si>
  <si>
    <t>1962 tot 2024</t>
  </si>
  <si>
    <t>UN Comtrade (HS 7202)</t>
  </si>
  <si>
    <t>UN Comtrade (HS 7222)</t>
  </si>
  <si>
    <t>UN Comtrade (HS 7606)</t>
  </si>
  <si>
    <t>UN Comtrade (HS 3921)</t>
  </si>
  <si>
    <t>UN Comtrade (HS 392113)</t>
  </si>
  <si>
    <t>UN Comtrade (HS 5407)</t>
  </si>
  <si>
    <t>UN Comtrade (HS 5208)</t>
  </si>
  <si>
    <t>UN Comtrade (HS 5111)</t>
  </si>
  <si>
    <t>UN Comtrade (HS 4107)</t>
  </si>
  <si>
    <t>UN Comtrade (HS 3920)</t>
  </si>
  <si>
    <t>UN Comtrade (HS 5603)</t>
  </si>
  <si>
    <t>UN Comtrade (HS 390110)</t>
  </si>
  <si>
    <t>UN Comtrade (HS 392010)</t>
  </si>
  <si>
    <t>UN Comtrade (HS 392043)</t>
  </si>
  <si>
    <t>2014 - 2023</t>
  </si>
  <si>
    <t>2021/2026</t>
  </si>
  <si>
    <t>https://www-genesis.destatis.de/datenbank/online/table/61231-0002</t>
  </si>
  <si>
    <t>https://www-genesis.destatis.de/datenbank/online/table/61231-0003</t>
  </si>
  <si>
    <t>https://www-genesis.destatis.de/datenbank/online/table/61231-0004</t>
  </si>
  <si>
    <t>https://www-genesis.destatis.de/datenbank/online/table/61231-0005</t>
  </si>
  <si>
    <t>https://www-genesis.destatis.de/datenbank/online/table/61231-0006</t>
  </si>
  <si>
    <t>Beuken</t>
  </si>
  <si>
    <t>Sparren</t>
  </si>
  <si>
    <t>Dennen</t>
  </si>
  <si>
    <t>ID</t>
  </si>
  <si>
    <t>Plastics Polymer prices | PlasticPortal (LDPE film)</t>
  </si>
  <si>
    <t>UN Comtrade (HS 5301)</t>
  </si>
  <si>
    <t>UN Comtrade (HS 5303)</t>
  </si>
  <si>
    <t>Vlas</t>
  </si>
  <si>
    <t>Jute</t>
  </si>
  <si>
    <t>Panelen van plantaardige vezels</t>
  </si>
  <si>
    <t>UN Comtrade (HS 6808)</t>
  </si>
  <si>
    <t>UN Comtrade (HS 4407)</t>
  </si>
  <si>
    <t>UN Comtrade (HS 440392)</t>
  </si>
  <si>
    <t>UN Comtrade (HS 440321)</t>
  </si>
  <si>
    <t>UN Comtrade (HS 440391)</t>
  </si>
  <si>
    <t>UN Comtrade (HS 441012)</t>
  </si>
  <si>
    <t>UN Comtrade (HS 441114)</t>
  </si>
  <si>
    <t>UN Comtrade (HS 441233)</t>
  </si>
  <si>
    <t>UN Comtrade (HS 4412)</t>
  </si>
  <si>
    <t>(checken bij Tony)</t>
  </si>
  <si>
    <t>Gerecycled metaal</t>
  </si>
  <si>
    <t>Eurostat</t>
  </si>
  <si>
    <t>2021 tm 2024</t>
  </si>
  <si>
    <t>Multiplex</t>
  </si>
  <si>
    <t>FRED https://fred.stlouisfed.org/series/WPU083</t>
  </si>
  <si>
    <t>FRED https://fred.stlouisfed.org/series/WPU09220141</t>
  </si>
  <si>
    <t>2002-2025</t>
  </si>
  <si>
    <t>1947-2025</t>
  </si>
  <si>
    <t>FRED https://fred.stlouisfed.org/series/WPU0922</t>
  </si>
  <si>
    <t>1958-2025</t>
  </si>
  <si>
    <t>Spaanplaat (particleboard)</t>
  </si>
  <si>
    <t>1987 tm 2025</t>
  </si>
  <si>
    <t>FRED (ferrous)</t>
  </si>
  <si>
    <t>1986 tm 2025</t>
  </si>
  <si>
    <t>FRED (non ferrous)</t>
  </si>
  <si>
    <t>Spaanplaat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</si>
</sst>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0.0"/>
  </numFmts>
  <fonts count="37">
    <font>
      <sz val="10"/>
      <color rgb="FF000000"/>
      <name val="Arial"/>
      <scheme val="minor"/>
    </font>
    <font>
      <sz val="10"/>
      <color theme="1"/>
      <name val="Arial"/>
      <family val="2"/>
      <scheme val="minor"/>
    </font>
    <font>
      <sz val="10"/>
      <color rgb="FFFFFFFF"/>
      <name val="Arial"/>
      <family val="2"/>
      <scheme val="minor"/>
    </font>
    <font>
      <b/>
      <sz val="10"/>
      <color rgb="FFFFFFFF"/>
      <name val="Arial"/>
      <family val="2"/>
      <scheme val="minor"/>
    </font>
    <font>
      <sz val="10"/>
      <name val="Arial"/>
      <family val="2"/>
    </font>
    <font>
      <strike/>
      <sz val="10"/>
      <color theme="1"/>
      <name val="Arial"/>
      <family val="2"/>
      <scheme val="minor"/>
    </font>
    <font>
      <sz val="11"/>
      <color theme="1"/>
      <name val="&quot;Aptos&quot;"/>
    </font>
    <font>
      <u/>
      <sz val="10"/>
      <color rgb="FF0000FF"/>
      <name val="Arial"/>
      <family val="2"/>
    </font>
    <font>
      <i/>
      <sz val="10"/>
      <color theme="1"/>
      <name val="Arial"/>
      <family val="2"/>
      <scheme val="minor"/>
    </font>
    <font>
      <u/>
      <sz val="10"/>
      <color rgb="FF1155CC"/>
      <name val="Arial"/>
      <family val="2"/>
    </font>
    <font>
      <sz val="10"/>
      <color theme="1"/>
      <name val="Arial"/>
      <family val="2"/>
      <scheme val="minor"/>
    </font>
    <font>
      <sz val="10"/>
      <name val="Arial"/>
      <family val="2"/>
    </font>
    <font>
      <sz val="10"/>
      <color theme="1"/>
      <name val="Arial"/>
      <family val="2"/>
    </font>
    <font>
      <sz val="10"/>
      <color rgb="FF000000"/>
      <name val="Arial"/>
      <family val="2"/>
      <scheme val="minor"/>
    </font>
    <font>
      <b/>
      <sz val="10"/>
      <color theme="1"/>
      <name val="Arial"/>
      <family val="2"/>
      <scheme val="minor"/>
    </font>
    <font>
      <b/>
      <sz val="10"/>
      <color rgb="FFFF0000"/>
      <name val="Arial"/>
      <family val="2"/>
      <scheme val="minor"/>
    </font>
    <font>
      <b/>
      <sz val="10"/>
      <color rgb="FFFFFFFF"/>
      <name val="Arial"/>
      <family val="2"/>
      <scheme val="minor"/>
    </font>
    <font>
      <sz val="10"/>
      <color rgb="FF000000"/>
      <name val="Arial"/>
      <family val="2"/>
    </font>
    <font>
      <i/>
      <sz val="10"/>
      <color rgb="FF000000"/>
      <name val="Arial"/>
      <family val="2"/>
    </font>
    <font>
      <sz val="10"/>
      <color rgb="FF000000"/>
      <name val="Aptos"/>
      <family val="2"/>
    </font>
    <font>
      <u/>
      <sz val="10"/>
      <color theme="10"/>
      <name val="Arial"/>
      <family val="2"/>
      <scheme val="minor"/>
    </font>
    <font>
      <b/>
      <sz val="10"/>
      <color theme="1"/>
      <name val="Arial"/>
      <family val="2"/>
    </font>
    <font>
      <b/>
      <sz val="9"/>
      <color indexed="81"/>
      <name val="Tahoma"/>
      <family val="2"/>
    </font>
    <font>
      <sz val="9"/>
      <color indexed="81"/>
      <name val="Tahoma"/>
      <family val="2"/>
    </font>
    <font>
      <u/>
      <sz val="10"/>
      <color theme="10"/>
      <name val="Arial"/>
      <family val="2"/>
      <scheme val="minor"/>
    </font>
    <font>
      <u/>
      <sz val="10"/>
      <color rgb="FF0000FF"/>
      <name val="Arial"/>
      <family val="2"/>
    </font>
    <font>
      <i/>
      <sz val="10"/>
      <color rgb="FF000000"/>
      <name val="Arial"/>
      <family val="2"/>
      <scheme val="minor"/>
    </font>
    <font>
      <sz val="11"/>
      <color rgb="FF000000"/>
      <name val="Aptos"/>
      <family val="2"/>
    </font>
    <font>
      <b/>
      <u/>
      <sz val="10"/>
      <color theme="10"/>
      <name val="Arial"/>
      <family val="2"/>
      <scheme val="minor"/>
    </font>
    <font>
      <u/>
      <sz val="10"/>
      <color rgb="FF1155CC"/>
      <name val="Arial"/>
      <family val="2"/>
      <scheme val="minor"/>
    </font>
    <font>
      <b/>
      <sz val="10"/>
      <color rgb="FF000000"/>
      <name val="Arial"/>
      <family val="2"/>
      <scheme val="minor"/>
    </font>
    <font>
      <sz val="10"/>
      <name val="Arial"/>
      <scheme val="minor"/>
    </font>
    <font>
      <u/>
      <sz val="10"/>
      <name val="Arial"/>
      <scheme val="minor"/>
    </font>
    <font>
      <u/>
      <sz val="10"/>
      <name val="Arial"/>
    </font>
    <font>
      <b/>
      <u/>
      <sz val="10"/>
      <name val="Arial"/>
      <scheme val="minor"/>
    </font>
    <font>
      <u/>
      <sz val="10"/>
      <color theme="4" tint="-0.499984740745262"/>
      <name val="Arial"/>
      <family val="2"/>
      <scheme val="minor"/>
    </font>
    <font>
      <sz val="8"/>
      <name val="Arial"/>
      <scheme val="minor"/>
    </font>
  </fonts>
  <fills count="35">
    <fill>
      <patternFill patternType="none"/>
    </fill>
    <fill>
      <patternFill patternType="gray125"/>
    </fill>
    <fill>
      <patternFill patternType="solid">
        <fgColor rgb="FF6AA84F"/>
        <bgColor rgb="FF6AA84F"/>
      </patternFill>
    </fill>
    <fill>
      <patternFill patternType="solid">
        <fgColor rgb="FFEA9999"/>
        <bgColor rgb="FFEA9999"/>
      </patternFill>
    </fill>
    <fill>
      <patternFill patternType="solid">
        <fgColor rgb="FFF6B26B"/>
        <bgColor rgb="FFF6B26B"/>
      </patternFill>
    </fill>
    <fill>
      <patternFill patternType="solid">
        <fgColor rgb="FFD9D9D9"/>
        <bgColor rgb="FFD9D9D9"/>
      </patternFill>
    </fill>
    <fill>
      <patternFill patternType="solid">
        <fgColor rgb="FF93C47D"/>
        <bgColor rgb="FF93C47D"/>
      </patternFill>
    </fill>
    <fill>
      <patternFill patternType="solid">
        <fgColor rgb="FF6D9EEB"/>
        <bgColor rgb="FF6D9EEB"/>
      </patternFill>
    </fill>
    <fill>
      <patternFill patternType="solid">
        <fgColor rgb="FFB6D7A8"/>
        <bgColor rgb="FFB6D7A8"/>
      </patternFill>
    </fill>
    <fill>
      <patternFill patternType="solid">
        <fgColor rgb="FFFF9900"/>
        <bgColor rgb="FFFF9900"/>
      </patternFill>
    </fill>
    <fill>
      <patternFill patternType="solid">
        <fgColor rgb="FFFCE8B2"/>
        <bgColor rgb="FFFCE8B2"/>
      </patternFill>
    </fill>
    <fill>
      <patternFill patternType="solid">
        <fgColor rgb="FFEFEFEF"/>
        <bgColor rgb="FFEFEFEF"/>
      </patternFill>
    </fill>
    <fill>
      <patternFill patternType="solid">
        <fgColor rgb="FFFCE5CD"/>
        <bgColor rgb="FFFCE5CD"/>
      </patternFill>
    </fill>
    <fill>
      <patternFill patternType="solid">
        <fgColor rgb="FFD9EAD3"/>
        <bgColor rgb="FFD9EAD3"/>
      </patternFill>
    </fill>
    <fill>
      <patternFill patternType="solid">
        <fgColor theme="7"/>
        <bgColor indexed="64"/>
      </patternFill>
    </fill>
    <fill>
      <patternFill patternType="solid">
        <fgColor theme="2" tint="-0.499984740745262"/>
        <bgColor indexed="64"/>
      </patternFill>
    </fill>
    <fill>
      <patternFill patternType="solid">
        <fgColor theme="2" tint="-0.499984740745262"/>
        <bgColor rgb="FFB6D7A8"/>
      </patternFill>
    </fill>
    <fill>
      <patternFill patternType="solid">
        <fgColor theme="2" tint="-0.499984740745262"/>
        <bgColor rgb="FFFCE8B2"/>
      </patternFill>
    </fill>
    <fill>
      <patternFill patternType="solid">
        <fgColor theme="2" tint="-0.499984740745262"/>
        <bgColor rgb="FFD9EAD3"/>
      </patternFill>
    </fill>
    <fill>
      <patternFill patternType="solid">
        <fgColor theme="0"/>
        <bgColor indexed="64"/>
      </patternFill>
    </fill>
    <fill>
      <patternFill patternType="solid">
        <fgColor rgb="FF7DFA7D"/>
        <bgColor indexed="64"/>
      </patternFill>
    </fill>
    <fill>
      <patternFill patternType="solid">
        <fgColor rgb="FFBBFA7D"/>
        <bgColor indexed="64"/>
      </patternFill>
    </fill>
    <fill>
      <patternFill patternType="solid">
        <fgColor rgb="FFFAFA7D"/>
        <bgColor indexed="64"/>
      </patternFill>
    </fill>
    <fill>
      <patternFill patternType="solid">
        <fgColor rgb="FFFABB7D"/>
        <bgColor indexed="64"/>
      </patternFill>
    </fill>
    <fill>
      <patternFill patternType="solid">
        <fgColor rgb="FFFA7D7D"/>
        <bgColor indexed="64"/>
      </patternFill>
    </fill>
    <fill>
      <patternFill patternType="solid">
        <fgColor theme="0" tint="-4.9989318521683403E-2"/>
        <bgColor indexed="64"/>
      </patternFill>
    </fill>
    <fill>
      <patternFill patternType="solid">
        <fgColor rgb="FF7DFA7D"/>
        <bgColor rgb="FF000000"/>
      </patternFill>
    </fill>
    <fill>
      <patternFill patternType="solid">
        <fgColor rgb="FFFAFA7D"/>
        <bgColor rgb="FF000000"/>
      </patternFill>
    </fill>
    <fill>
      <patternFill patternType="solid">
        <fgColor rgb="FFBBFA7D"/>
        <bgColor rgb="FF000000"/>
      </patternFill>
    </fill>
    <fill>
      <patternFill patternType="solid">
        <fgColor rgb="FFFFFFFF"/>
        <bgColor rgb="FF000000"/>
      </patternFill>
    </fill>
    <fill>
      <patternFill patternType="solid">
        <fgColor rgb="FFFABB7D"/>
        <bgColor rgb="FF000000"/>
      </patternFill>
    </fill>
    <fill>
      <patternFill patternType="solid">
        <fgColor theme="0"/>
        <bgColor rgb="FF000000"/>
      </patternFill>
    </fill>
    <fill>
      <patternFill patternType="solid">
        <fgColor rgb="FFFA7D7D"/>
        <bgColor rgb="FF000000"/>
      </patternFill>
    </fill>
    <fill>
      <patternFill patternType="solid">
        <fgColor rgb="FFFFFF00"/>
        <bgColor indexed="64"/>
      </patternFill>
    </fill>
    <fill>
      <patternFill patternType="solid">
        <fgColor theme="8"/>
        <bgColor indexed="64"/>
      </patternFill>
    </fill>
  </fills>
  <borders count="53">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theme="0"/>
      </right>
      <top style="medium">
        <color indexed="64"/>
      </top>
      <bottom/>
      <diagonal/>
    </border>
    <border>
      <left style="thin">
        <color theme="0"/>
      </left>
      <right style="thin">
        <color theme="0"/>
      </right>
      <top style="medium">
        <color indexed="64"/>
      </top>
      <bottom/>
      <diagonal/>
    </border>
    <border>
      <left style="medium">
        <color indexed="64"/>
      </left>
      <right style="thin">
        <color theme="0"/>
      </right>
      <top style="thin">
        <color indexed="64"/>
      </top>
      <bottom/>
      <diagonal/>
    </border>
    <border>
      <left style="thin">
        <color theme="0"/>
      </left>
      <right style="thin">
        <color theme="0"/>
      </right>
      <top style="thin">
        <color indexed="64"/>
      </top>
      <bottom/>
      <diagonal/>
    </border>
    <border>
      <left style="medium">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medium">
        <color indexed="64"/>
      </left>
      <right style="thin">
        <color theme="0"/>
      </right>
      <top style="thin">
        <color indexed="64"/>
      </top>
      <bottom style="medium">
        <color indexed="64"/>
      </bottom>
      <diagonal/>
    </border>
    <border>
      <left style="thin">
        <color theme="0"/>
      </left>
      <right style="thin">
        <color theme="0"/>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theme="0"/>
      </left>
      <right/>
      <top style="thin">
        <color indexed="64"/>
      </top>
      <bottom style="medium">
        <color indexed="64"/>
      </bottom>
      <diagonal/>
    </border>
    <border>
      <left style="thin">
        <color theme="0"/>
      </left>
      <right/>
      <top style="medium">
        <color indexed="64"/>
      </top>
      <bottom/>
      <diagonal/>
    </border>
    <border>
      <left style="thin">
        <color theme="0"/>
      </left>
      <right/>
      <top style="thin">
        <color indexed="64"/>
      </top>
      <bottom/>
      <diagonal/>
    </border>
    <border>
      <left style="thin">
        <color theme="0"/>
      </left>
      <right/>
      <top style="thin">
        <color indexed="64"/>
      </top>
      <bottom style="thin">
        <color indexed="64"/>
      </bottom>
      <diagonal/>
    </border>
    <border diagonalUp="1" diagonalDown="1">
      <left style="thin">
        <color theme="0"/>
      </left>
      <right style="medium">
        <color indexed="64"/>
      </right>
      <top/>
      <bottom style="medium">
        <color indexed="64"/>
      </bottom>
      <diagonal style="thin">
        <color theme="0"/>
      </diagonal>
    </border>
    <border diagonalUp="1" diagonalDown="1">
      <left style="thin">
        <color theme="0"/>
      </left>
      <right style="medium">
        <color indexed="64"/>
      </right>
      <top style="medium">
        <color indexed="64"/>
      </top>
      <bottom/>
      <diagonal style="thin">
        <color theme="0"/>
      </diagonal>
    </border>
    <border diagonalUp="1" diagonalDown="1">
      <left style="thin">
        <color theme="0"/>
      </left>
      <right style="medium">
        <color indexed="64"/>
      </right>
      <top style="thin">
        <color indexed="64"/>
      </top>
      <bottom/>
      <diagonal style="thin">
        <color theme="0"/>
      </diagonal>
    </border>
    <border diagonalUp="1" diagonalDown="1">
      <left style="thin">
        <color theme="0"/>
      </left>
      <right style="medium">
        <color indexed="64"/>
      </right>
      <top style="thin">
        <color indexed="64"/>
      </top>
      <bottom style="thin">
        <color indexed="64"/>
      </bottom>
      <diagonal style="thin">
        <color theme="0"/>
      </diagonal>
    </border>
    <border diagonalUp="1" diagonalDown="1">
      <left/>
      <right style="thin">
        <color theme="0"/>
      </right>
      <top style="thin">
        <color indexed="64"/>
      </top>
      <bottom style="medium">
        <color indexed="64"/>
      </bottom>
      <diagonal style="thin">
        <color theme="0"/>
      </diagonal>
    </border>
    <border>
      <left style="thin">
        <color indexed="64"/>
      </left>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right/>
      <top style="thin">
        <color rgb="FF000000"/>
      </top>
      <bottom style="thin">
        <color rgb="FF000000"/>
      </bottom>
      <diagonal/>
    </border>
    <border>
      <left style="thin">
        <color rgb="FF000000"/>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s>
  <cellStyleXfs count="3">
    <xf numFmtId="0" fontId="0" fillId="0" borderId="0"/>
    <xf numFmtId="0" fontId="13" fillId="0" borderId="0"/>
    <xf numFmtId="0" fontId="20" fillId="0" borderId="0" applyNumberFormat="0" applyFill="0" applyBorder="0" applyAlignment="0" applyProtection="0"/>
  </cellStyleXfs>
  <cellXfs count="371">
    <xf numFmtId="0" fontId="0" fillId="0" borderId="0" xfId="0"/>
    <xf numFmtId="0" fontId="1" fillId="0" borderId="0" xfId="0" applyFont="1" applyAlignment="1">
      <alignment wrapText="1"/>
    </xf>
    <xf numFmtId="0" fontId="1" fillId="2" borderId="1" xfId="0" applyFont="1" applyFill="1" applyBorder="1" applyAlignment="1">
      <alignment wrapText="1"/>
    </xf>
    <xf numFmtId="0" fontId="1" fillId="2" borderId="2" xfId="0" applyFont="1" applyFill="1" applyBorder="1" applyAlignment="1">
      <alignment wrapText="1"/>
    </xf>
    <xf numFmtId="0" fontId="1" fillId="3" borderId="2" xfId="0" applyFont="1" applyFill="1" applyBorder="1" applyAlignment="1">
      <alignment wrapText="1"/>
    </xf>
    <xf numFmtId="0" fontId="1" fillId="2" borderId="3" xfId="0" applyFont="1" applyFill="1" applyBorder="1" applyAlignment="1">
      <alignment wrapText="1"/>
    </xf>
    <xf numFmtId="0" fontId="1" fillId="4" borderId="0" xfId="0" applyFont="1" applyFill="1" applyAlignment="1">
      <alignment wrapText="1"/>
    </xf>
    <xf numFmtId="0" fontId="1" fillId="3" borderId="0" xfId="0" applyFont="1" applyFill="1" applyAlignment="1">
      <alignment wrapText="1"/>
    </xf>
    <xf numFmtId="0" fontId="1" fillId="2" borderId="0" xfId="0" applyFont="1" applyFill="1" applyAlignment="1">
      <alignment wrapText="1"/>
    </xf>
    <xf numFmtId="0" fontId="1" fillId="5" borderId="0" xfId="0" applyFont="1" applyFill="1" applyAlignment="1">
      <alignment wrapText="1"/>
    </xf>
    <xf numFmtId="0" fontId="1" fillId="3" borderId="3" xfId="0" applyFont="1" applyFill="1" applyBorder="1" applyAlignment="1">
      <alignment wrapText="1"/>
    </xf>
    <xf numFmtId="0" fontId="1" fillId="6" borderId="0" xfId="0" applyFont="1" applyFill="1" applyAlignment="1">
      <alignmen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3" borderId="5" xfId="0" applyFont="1" applyFill="1" applyBorder="1" applyAlignment="1">
      <alignment wrapText="1"/>
    </xf>
    <xf numFmtId="0" fontId="1" fillId="4" borderId="2" xfId="0" applyFont="1" applyFill="1" applyBorder="1" applyAlignment="1">
      <alignment wrapText="1"/>
    </xf>
    <xf numFmtId="0" fontId="1" fillId="3" borderId="6" xfId="0" applyFont="1" applyFill="1" applyBorder="1" applyAlignment="1">
      <alignment wrapText="1"/>
    </xf>
    <xf numFmtId="0" fontId="1" fillId="3" borderId="7" xfId="0" applyFont="1" applyFill="1" applyBorder="1" applyAlignment="1">
      <alignment wrapText="1"/>
    </xf>
    <xf numFmtId="0" fontId="1" fillId="5" borderId="7" xfId="0" applyFont="1" applyFill="1" applyBorder="1" applyAlignment="1">
      <alignment wrapText="1"/>
    </xf>
    <xf numFmtId="0" fontId="1" fillId="3" borderId="8" xfId="0" applyFont="1" applyFill="1" applyBorder="1" applyAlignment="1">
      <alignment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3" fillId="7" borderId="0" xfId="0" applyFont="1" applyFill="1" applyAlignment="1">
      <alignment vertical="top"/>
    </xf>
    <xf numFmtId="0" fontId="3" fillId="7" borderId="0" xfId="0" applyFont="1" applyFill="1" applyAlignment="1">
      <alignment vertical="top" wrapText="1"/>
    </xf>
    <xf numFmtId="0" fontId="1" fillId="0" borderId="9" xfId="0" applyFont="1" applyBorder="1" applyAlignment="1">
      <alignment vertical="top"/>
    </xf>
    <xf numFmtId="0" fontId="1" fillId="0" borderId="9" xfId="0" applyFont="1" applyBorder="1" applyAlignment="1">
      <alignment vertical="top" wrapText="1"/>
    </xf>
    <xf numFmtId="0" fontId="1" fillId="8" borderId="9" xfId="0" applyFont="1" applyFill="1" applyBorder="1" applyAlignment="1">
      <alignment vertical="top" wrapText="1"/>
    </xf>
    <xf numFmtId="0" fontId="1" fillId="9" borderId="9" xfId="0" applyFont="1" applyFill="1" applyBorder="1" applyAlignment="1">
      <alignment vertical="top"/>
    </xf>
    <xf numFmtId="0" fontId="5" fillId="0" borderId="9" xfId="0" applyFont="1" applyBorder="1" applyAlignment="1">
      <alignment vertical="top" wrapText="1"/>
    </xf>
    <xf numFmtId="0" fontId="1" fillId="10" borderId="9" xfId="0" applyFont="1" applyFill="1" applyBorder="1" applyAlignment="1">
      <alignment vertical="top" wrapText="1"/>
    </xf>
    <xf numFmtId="0" fontId="7" fillId="0" borderId="9" xfId="0" applyFont="1" applyBorder="1" applyAlignment="1">
      <alignment vertical="top" wrapText="1"/>
    </xf>
    <xf numFmtId="0" fontId="1" fillId="10" borderId="0" xfId="0" applyFont="1" applyFill="1" applyAlignment="1">
      <alignment vertical="top"/>
    </xf>
    <xf numFmtId="0" fontId="8" fillId="0" borderId="9" xfId="0" applyFont="1" applyBorder="1" applyAlignment="1">
      <alignment vertical="top" wrapText="1"/>
    </xf>
    <xf numFmtId="0" fontId="5" fillId="8" borderId="9" xfId="0" applyFont="1" applyFill="1" applyBorder="1" applyAlignment="1">
      <alignment vertical="top" wrapText="1"/>
    </xf>
    <xf numFmtId="0" fontId="5" fillId="9" borderId="9" xfId="0" applyFont="1" applyFill="1" applyBorder="1" applyAlignment="1">
      <alignment vertical="top"/>
    </xf>
    <xf numFmtId="0" fontId="5" fillId="0" borderId="9" xfId="0" applyFont="1" applyBorder="1" applyAlignment="1">
      <alignment vertical="top"/>
    </xf>
    <xf numFmtId="0" fontId="5" fillId="9" borderId="9" xfId="0" applyFont="1" applyFill="1" applyBorder="1" applyAlignment="1">
      <alignment vertical="top" wrapText="1"/>
    </xf>
    <xf numFmtId="0" fontId="5" fillId="8" borderId="0" xfId="0" applyFont="1" applyFill="1" applyAlignment="1">
      <alignment vertical="top"/>
    </xf>
    <xf numFmtId="0" fontId="1" fillId="8" borderId="0" xfId="0" applyFont="1" applyFill="1" applyAlignment="1">
      <alignment vertical="top"/>
    </xf>
    <xf numFmtId="164" fontId="1" fillId="10" borderId="9" xfId="0" applyNumberFormat="1" applyFont="1" applyFill="1" applyBorder="1" applyAlignment="1">
      <alignment vertical="top"/>
    </xf>
    <xf numFmtId="0" fontId="1" fillId="13" borderId="9" xfId="0" applyFont="1" applyFill="1" applyBorder="1" applyAlignment="1">
      <alignment vertical="top" wrapText="1"/>
    </xf>
    <xf numFmtId="164" fontId="1" fillId="0" borderId="9" xfId="0" applyNumberFormat="1" applyFont="1" applyBorder="1" applyAlignment="1">
      <alignment vertical="top"/>
    </xf>
    <xf numFmtId="0" fontId="10" fillId="0" borderId="9" xfId="0" applyFont="1" applyBorder="1" applyAlignment="1">
      <alignment vertical="top"/>
    </xf>
    <xf numFmtId="0" fontId="10" fillId="13" borderId="9" xfId="0" applyFont="1" applyFill="1" applyBorder="1" applyAlignment="1">
      <alignment vertical="top" wrapText="1"/>
    </xf>
    <xf numFmtId="0" fontId="10" fillId="0" borderId="9" xfId="0" applyFont="1" applyBorder="1" applyAlignment="1">
      <alignment vertical="top" wrapText="1"/>
    </xf>
    <xf numFmtId="0" fontId="10" fillId="10" borderId="9" xfId="0" applyFont="1" applyFill="1" applyBorder="1" applyAlignment="1">
      <alignment vertical="top" wrapText="1"/>
    </xf>
    <xf numFmtId="0" fontId="1" fillId="14" borderId="9" xfId="0" applyFont="1" applyFill="1" applyBorder="1" applyAlignment="1">
      <alignment vertical="top" wrapText="1"/>
    </xf>
    <xf numFmtId="0" fontId="1" fillId="16" borderId="9" xfId="0" applyFont="1" applyFill="1" applyBorder="1" applyAlignment="1">
      <alignment vertical="top" wrapText="1"/>
    </xf>
    <xf numFmtId="0" fontId="1" fillId="17" borderId="9" xfId="0" applyFont="1" applyFill="1" applyBorder="1" applyAlignment="1">
      <alignment vertical="top" wrapText="1"/>
    </xf>
    <xf numFmtId="0" fontId="1" fillId="15" borderId="9" xfId="0" applyFont="1" applyFill="1" applyBorder="1" applyAlignment="1">
      <alignment vertical="top"/>
    </xf>
    <xf numFmtId="0" fontId="1" fillId="15" borderId="9" xfId="0" applyFont="1" applyFill="1" applyBorder="1" applyAlignment="1">
      <alignment vertical="top" wrapText="1"/>
    </xf>
    <xf numFmtId="164" fontId="1" fillId="17" borderId="9" xfId="0" applyNumberFormat="1" applyFont="1" applyFill="1" applyBorder="1" applyAlignment="1">
      <alignment vertical="top"/>
    </xf>
    <xf numFmtId="0" fontId="1" fillId="15" borderId="9" xfId="0" quotePrefix="1" applyFont="1" applyFill="1" applyBorder="1" applyAlignment="1">
      <alignment vertical="top" wrapText="1"/>
    </xf>
    <xf numFmtId="0" fontId="1" fillId="18" borderId="9" xfId="0" applyFont="1" applyFill="1" applyBorder="1" applyAlignment="1">
      <alignment vertical="top" wrapText="1"/>
    </xf>
    <xf numFmtId="164" fontId="1" fillId="15" borderId="9" xfId="0" applyNumberFormat="1" applyFont="1" applyFill="1" applyBorder="1" applyAlignment="1">
      <alignment vertical="top"/>
    </xf>
    <xf numFmtId="0" fontId="10" fillId="15" borderId="9" xfId="0" applyFont="1" applyFill="1" applyBorder="1" applyAlignment="1">
      <alignment vertical="top"/>
    </xf>
    <xf numFmtId="0" fontId="1" fillId="0" borderId="14" xfId="0" applyFont="1" applyBorder="1" applyAlignment="1">
      <alignment vertical="top"/>
    </xf>
    <xf numFmtId="0" fontId="1" fillId="0" borderId="15" xfId="0" applyFont="1" applyBorder="1" applyAlignment="1">
      <alignment vertical="top" wrapText="1"/>
    </xf>
    <xf numFmtId="0" fontId="16" fillId="7" borderId="0" xfId="0" applyFont="1" applyFill="1" applyAlignment="1">
      <alignment vertical="top" wrapText="1"/>
    </xf>
    <xf numFmtId="0" fontId="1" fillId="0" borderId="13" xfId="0" applyFont="1" applyBorder="1" applyAlignment="1">
      <alignment vertical="top" wrapText="1"/>
    </xf>
    <xf numFmtId="0" fontId="0" fillId="0" borderId="0" xfId="0" applyAlignment="1">
      <alignment wrapText="1"/>
    </xf>
    <xf numFmtId="0" fontId="13" fillId="0" borderId="0" xfId="1" applyAlignment="1">
      <alignment vertical="top"/>
    </xf>
    <xf numFmtId="0" fontId="13" fillId="19" borderId="16" xfId="1" applyFill="1" applyBorder="1"/>
    <xf numFmtId="0" fontId="13" fillId="19" borderId="17" xfId="1" applyFill="1" applyBorder="1" applyAlignment="1">
      <alignment horizontal="center"/>
    </xf>
    <xf numFmtId="0" fontId="13" fillId="19" borderId="18" xfId="1" applyFill="1" applyBorder="1" applyAlignment="1">
      <alignment wrapText="1"/>
    </xf>
    <xf numFmtId="0" fontId="13" fillId="0" borderId="0" xfId="1"/>
    <xf numFmtId="0" fontId="17" fillId="0" borderId="19" xfId="1" applyFont="1" applyBorder="1" applyAlignment="1">
      <alignment horizontal="left" vertical="top" wrapText="1"/>
    </xf>
    <xf numFmtId="0" fontId="12" fillId="20" borderId="20" xfId="1" applyFont="1" applyFill="1" applyBorder="1" applyAlignment="1">
      <alignment horizontal="left" vertical="top" wrapText="1"/>
    </xf>
    <xf numFmtId="0" fontId="12" fillId="21" borderId="20" xfId="1" applyFont="1" applyFill="1" applyBorder="1" applyAlignment="1">
      <alignment horizontal="left" vertical="top" wrapText="1"/>
    </xf>
    <xf numFmtId="0" fontId="12" fillId="22" borderId="20" xfId="1" applyFont="1" applyFill="1" applyBorder="1" applyAlignment="1">
      <alignment horizontal="left" vertical="top" wrapText="1"/>
    </xf>
    <xf numFmtId="0" fontId="17" fillId="0" borderId="21" xfId="1" applyFont="1" applyBorder="1" applyAlignment="1">
      <alignment horizontal="left" vertical="top" wrapText="1"/>
    </xf>
    <xf numFmtId="0" fontId="12" fillId="20" borderId="22" xfId="1" applyFont="1" applyFill="1" applyBorder="1" applyAlignment="1">
      <alignment horizontal="left" vertical="top" wrapText="1"/>
    </xf>
    <xf numFmtId="0" fontId="12" fillId="21" borderId="22" xfId="1" applyFont="1" applyFill="1" applyBorder="1" applyAlignment="1">
      <alignment horizontal="left" vertical="top" wrapText="1"/>
    </xf>
    <xf numFmtId="0" fontId="12" fillId="22" borderId="22" xfId="1" applyFont="1" applyFill="1" applyBorder="1" applyAlignment="1">
      <alignment horizontal="left" vertical="top" wrapText="1"/>
    </xf>
    <xf numFmtId="0" fontId="17" fillId="0" borderId="23" xfId="1" applyFont="1" applyBorder="1" applyAlignment="1">
      <alignment horizontal="left" vertical="top" wrapText="1"/>
    </xf>
    <xf numFmtId="0" fontId="12" fillId="20" borderId="24" xfId="1" applyFont="1" applyFill="1" applyBorder="1" applyAlignment="1">
      <alignment horizontal="left" vertical="top" wrapText="1"/>
    </xf>
    <xf numFmtId="0" fontId="12" fillId="21" borderId="24" xfId="1" applyFont="1" applyFill="1" applyBorder="1" applyAlignment="1">
      <alignment horizontal="left" vertical="top" wrapText="1"/>
    </xf>
    <xf numFmtId="0" fontId="12" fillId="22" borderId="24" xfId="1" applyFont="1" applyFill="1" applyBorder="1" applyAlignment="1">
      <alignment horizontal="left" vertical="top" wrapText="1"/>
    </xf>
    <xf numFmtId="0" fontId="17" fillId="0" borderId="25" xfId="1" applyFont="1" applyBorder="1" applyAlignment="1">
      <alignment horizontal="left" vertical="top" wrapText="1"/>
    </xf>
    <xf numFmtId="0" fontId="12" fillId="20" borderId="26" xfId="1" applyFont="1" applyFill="1" applyBorder="1" applyAlignment="1">
      <alignment horizontal="left" vertical="top" wrapText="1"/>
    </xf>
    <xf numFmtId="0" fontId="12" fillId="22" borderId="26" xfId="1" applyFont="1" applyFill="1" applyBorder="1" applyAlignment="1">
      <alignment horizontal="left" vertical="top" wrapText="1"/>
    </xf>
    <xf numFmtId="0" fontId="19" fillId="19" borderId="27" xfId="1" applyFont="1" applyFill="1" applyBorder="1"/>
    <xf numFmtId="0" fontId="19" fillId="19" borderId="28" xfId="1" applyFont="1" applyFill="1" applyBorder="1"/>
    <xf numFmtId="0" fontId="13" fillId="19" borderId="29" xfId="1" applyFill="1" applyBorder="1" applyAlignment="1">
      <alignment wrapText="1"/>
    </xf>
    <xf numFmtId="0" fontId="13" fillId="0" borderId="0" xfId="1" applyAlignment="1">
      <alignment wrapText="1"/>
    </xf>
    <xf numFmtId="0" fontId="1" fillId="0" borderId="10" xfId="0" applyFont="1" applyBorder="1" applyAlignment="1">
      <alignment vertical="top" wrapText="1"/>
    </xf>
    <xf numFmtId="0" fontId="4" fillId="0" borderId="12" xfId="0" applyFont="1" applyBorder="1"/>
    <xf numFmtId="0" fontId="12" fillId="21" borderId="30" xfId="1" applyFont="1" applyFill="1" applyBorder="1" applyAlignment="1">
      <alignment horizontal="left" vertical="top" wrapText="1"/>
    </xf>
    <xf numFmtId="0" fontId="13" fillId="0" borderId="18" xfId="1" applyBorder="1" applyAlignment="1">
      <alignment horizontal="left" wrapText="1"/>
    </xf>
    <xf numFmtId="0" fontId="12" fillId="23" borderId="31" xfId="1" applyFont="1" applyFill="1" applyBorder="1" applyAlignment="1">
      <alignment horizontal="left" vertical="top" wrapText="1"/>
    </xf>
    <xf numFmtId="0" fontId="12" fillId="23" borderId="32" xfId="1" applyFont="1" applyFill="1" applyBorder="1" applyAlignment="1">
      <alignment horizontal="left" vertical="top" wrapText="1"/>
    </xf>
    <xf numFmtId="0" fontId="12" fillId="23" borderId="33" xfId="1" applyFont="1" applyFill="1" applyBorder="1" applyAlignment="1">
      <alignment horizontal="left" vertical="top" wrapText="1"/>
    </xf>
    <xf numFmtId="0" fontId="12" fillId="24" borderId="34" xfId="1" applyFont="1" applyFill="1" applyBorder="1" applyAlignment="1">
      <alignment horizontal="left" vertical="top" wrapText="1"/>
    </xf>
    <xf numFmtId="0" fontId="12" fillId="24" borderId="35" xfId="1" applyFont="1" applyFill="1" applyBorder="1" applyAlignment="1">
      <alignment horizontal="left" vertical="top" wrapText="1"/>
    </xf>
    <xf numFmtId="0" fontId="12" fillId="24" borderId="36" xfId="1" applyFont="1" applyFill="1" applyBorder="1" applyAlignment="1">
      <alignment horizontal="left" vertical="top" wrapText="1"/>
    </xf>
    <xf numFmtId="0" fontId="12" fillId="24" borderId="37" xfId="1" applyFont="1" applyFill="1" applyBorder="1" applyAlignment="1">
      <alignment horizontal="left" vertical="top" wrapText="1"/>
    </xf>
    <xf numFmtId="0" fontId="12" fillId="23" borderId="38" xfId="1" applyFont="1" applyFill="1" applyBorder="1" applyAlignment="1">
      <alignment horizontal="left" vertical="top" wrapText="1"/>
    </xf>
    <xf numFmtId="0" fontId="1" fillId="0" borderId="14" xfId="0" applyFont="1" applyBorder="1" applyAlignment="1">
      <alignment vertical="top" wrapText="1"/>
    </xf>
    <xf numFmtId="0" fontId="1" fillId="17" borderId="14" xfId="0" applyFont="1" applyFill="1" applyBorder="1" applyAlignment="1">
      <alignment vertical="top" wrapText="1"/>
    </xf>
    <xf numFmtId="0" fontId="1" fillId="18" borderId="14" xfId="0" applyFont="1" applyFill="1" applyBorder="1" applyAlignment="1">
      <alignment vertical="top" wrapText="1"/>
    </xf>
    <xf numFmtId="0" fontId="1" fillId="15" borderId="14" xfId="0" applyFont="1" applyFill="1" applyBorder="1" applyAlignment="1">
      <alignment vertical="top" wrapText="1"/>
    </xf>
    <xf numFmtId="0" fontId="1" fillId="15" borderId="15" xfId="0" applyFont="1" applyFill="1" applyBorder="1" applyAlignment="1">
      <alignment vertical="top" wrapText="1"/>
    </xf>
    <xf numFmtId="0" fontId="1" fillId="0" borderId="1" xfId="0" applyFont="1" applyBorder="1" applyAlignment="1">
      <alignment vertical="top"/>
    </xf>
    <xf numFmtId="0" fontId="1" fillId="0" borderId="13" xfId="0" applyFont="1" applyBorder="1" applyAlignment="1">
      <alignment vertical="top"/>
    </xf>
    <xf numFmtId="0" fontId="0" fillId="0" borderId="13" xfId="0" applyBorder="1"/>
    <xf numFmtId="0" fontId="1" fillId="15" borderId="13" xfId="0" applyFont="1" applyFill="1" applyBorder="1" applyAlignment="1">
      <alignment vertical="top"/>
    </xf>
    <xf numFmtId="0" fontId="10" fillId="0" borderId="13" xfId="0" applyFont="1" applyBorder="1" applyAlignment="1">
      <alignment vertical="top"/>
    </xf>
    <xf numFmtId="0" fontId="10" fillId="0" borderId="9" xfId="0" applyFont="1" applyBorder="1" applyAlignment="1">
      <alignment horizontal="center" vertical="top" wrapText="1"/>
    </xf>
    <xf numFmtId="0" fontId="10" fillId="0" borderId="13" xfId="0" applyFont="1" applyBorder="1" applyAlignment="1">
      <alignment horizontal="center" vertical="top" wrapText="1"/>
    </xf>
    <xf numFmtId="0" fontId="10" fillId="25" borderId="13" xfId="0" applyFont="1" applyFill="1" applyBorder="1" applyAlignment="1">
      <alignment horizontal="center" vertical="top" wrapText="1"/>
    </xf>
    <xf numFmtId="0" fontId="10" fillId="0" borderId="39" xfId="0" applyFont="1" applyBorder="1" applyAlignment="1">
      <alignment horizontal="center" vertical="top" wrapText="1"/>
    </xf>
    <xf numFmtId="165" fontId="1" fillId="0" borderId="13" xfId="0" applyNumberFormat="1" applyFont="1" applyBorder="1" applyAlignment="1">
      <alignment vertical="top" wrapText="1"/>
    </xf>
    <xf numFmtId="0" fontId="20" fillId="0" borderId="9" xfId="2" applyBorder="1" applyAlignment="1">
      <alignment vertical="top" wrapText="1"/>
    </xf>
    <xf numFmtId="0" fontId="5" fillId="0" borderId="14" xfId="0" applyFont="1" applyBorder="1" applyAlignment="1">
      <alignment vertical="top" wrapText="1"/>
    </xf>
    <xf numFmtId="0" fontId="10" fillId="0" borderId="14" xfId="0" applyFont="1" applyBorder="1" applyAlignment="1">
      <alignment vertical="top" wrapText="1"/>
    </xf>
    <xf numFmtId="0" fontId="1" fillId="0" borderId="12" xfId="0" applyFont="1" applyBorder="1" applyAlignment="1">
      <alignment vertical="top" wrapText="1"/>
    </xf>
    <xf numFmtId="0" fontId="1" fillId="0" borderId="6" xfId="0" applyFont="1" applyBorder="1" applyAlignment="1">
      <alignment vertical="top" wrapText="1"/>
    </xf>
    <xf numFmtId="0" fontId="1" fillId="0" borderId="42" xfId="0" applyFont="1" applyBorder="1" applyAlignment="1">
      <alignment vertical="top" wrapText="1"/>
    </xf>
    <xf numFmtId="0" fontId="10" fillId="0" borderId="15" xfId="0" applyFont="1" applyBorder="1" applyAlignment="1">
      <alignment horizontal="center" vertical="top" wrapText="1"/>
    </xf>
    <xf numFmtId="14" fontId="1" fillId="0" borderId="9" xfId="0" applyNumberFormat="1" applyFont="1" applyBorder="1" applyAlignment="1">
      <alignment vertical="top"/>
    </xf>
    <xf numFmtId="0" fontId="10" fillId="0" borderId="29" xfId="0" applyFont="1" applyBorder="1" applyAlignment="1">
      <alignment horizontal="center" vertical="top" wrapText="1"/>
    </xf>
    <xf numFmtId="0" fontId="24" fillId="0" borderId="13" xfId="2" applyFont="1" applyBorder="1" applyAlignment="1">
      <alignment horizontal="left"/>
    </xf>
    <xf numFmtId="0" fontId="0" fillId="27" borderId="9" xfId="0" applyFill="1" applyBorder="1" applyAlignment="1">
      <alignment horizontal="center" vertical="center"/>
    </xf>
    <xf numFmtId="0" fontId="0" fillId="28" borderId="9" xfId="0" applyFill="1" applyBorder="1" applyAlignment="1">
      <alignment horizontal="center" vertical="center"/>
    </xf>
    <xf numFmtId="0" fontId="0" fillId="0" borderId="9" xfId="0" applyBorder="1" applyAlignment="1">
      <alignment horizontal="left" vertical="top"/>
    </xf>
    <xf numFmtId="0" fontId="0" fillId="30" borderId="9" xfId="0" applyFill="1" applyBorder="1" applyAlignment="1">
      <alignment horizontal="center" vertical="center"/>
    </xf>
    <xf numFmtId="0" fontId="0" fillId="31" borderId="9" xfId="0" applyFill="1" applyBorder="1" applyAlignment="1">
      <alignment horizontal="center" vertical="center"/>
    </xf>
    <xf numFmtId="0" fontId="0" fillId="19" borderId="9" xfId="0" applyFill="1" applyBorder="1" applyAlignment="1">
      <alignment horizontal="left" vertical="top"/>
    </xf>
    <xf numFmtId="0" fontId="0" fillId="0" borderId="13" xfId="0" applyBorder="1" applyAlignment="1">
      <alignment horizontal="left" vertical="top" wrapText="1"/>
    </xf>
    <xf numFmtId="0" fontId="13" fillId="0" borderId="13" xfId="0" applyFont="1" applyBorder="1" applyAlignment="1">
      <alignment horizontal="left" vertical="top" wrapText="1"/>
    </xf>
    <xf numFmtId="0" fontId="20" fillId="0" borderId="0" xfId="2" applyAlignment="1">
      <alignment wrapText="1"/>
    </xf>
    <xf numFmtId="0" fontId="0" fillId="26" borderId="13" xfId="0" applyFill="1" applyBorder="1" applyAlignment="1">
      <alignment horizontal="center" vertical="center" wrapText="1"/>
    </xf>
    <xf numFmtId="0" fontId="0" fillId="27" borderId="13" xfId="0" applyFill="1" applyBorder="1" applyAlignment="1">
      <alignment horizontal="center" vertical="center"/>
    </xf>
    <xf numFmtId="0" fontId="26" fillId="0" borderId="13" xfId="0" applyFont="1" applyBorder="1" applyAlignment="1">
      <alignment horizontal="center" vertical="center"/>
    </xf>
    <xf numFmtId="0" fontId="0" fillId="28" borderId="13" xfId="0" applyFill="1" applyBorder="1" applyAlignment="1">
      <alignment horizontal="center" vertical="center"/>
    </xf>
    <xf numFmtId="0" fontId="0" fillId="0" borderId="13" xfId="0" applyBorder="1" applyAlignment="1">
      <alignment horizontal="left" vertical="top"/>
    </xf>
    <xf numFmtId="0" fontId="13" fillId="29" borderId="13" xfId="0" applyFont="1" applyFill="1" applyBorder="1" applyAlignment="1">
      <alignment horizontal="left" vertical="top" wrapText="1"/>
    </xf>
    <xf numFmtId="0" fontId="26" fillId="0" borderId="13" xfId="0" applyFont="1" applyBorder="1" applyAlignment="1">
      <alignment horizontal="left" vertical="top"/>
    </xf>
    <xf numFmtId="0" fontId="0" fillId="27" borderId="13" xfId="0" applyFill="1" applyBorder="1" applyAlignment="1">
      <alignment horizontal="center" vertical="center" wrapText="1"/>
    </xf>
    <xf numFmtId="0" fontId="0" fillId="30" borderId="13" xfId="0" applyFill="1" applyBorder="1" applyAlignment="1">
      <alignment horizontal="center" vertical="center"/>
    </xf>
    <xf numFmtId="0" fontId="26" fillId="29" borderId="13" xfId="0" applyFont="1" applyFill="1" applyBorder="1" applyAlignment="1">
      <alignment horizontal="center" vertical="center" wrapText="1"/>
    </xf>
    <xf numFmtId="0" fontId="0" fillId="32" borderId="13" xfId="0" applyFill="1" applyBorder="1" applyAlignment="1">
      <alignment horizontal="center" vertical="center"/>
    </xf>
    <xf numFmtId="0" fontId="26" fillId="0" borderId="13" xfId="0" applyFont="1" applyBorder="1" applyAlignment="1">
      <alignment horizontal="center" vertical="center" wrapText="1"/>
    </xf>
    <xf numFmtId="0" fontId="26" fillId="0" borderId="13" xfId="0" applyFont="1" applyBorder="1" applyAlignment="1">
      <alignment horizontal="left" vertical="top" wrapText="1"/>
    </xf>
    <xf numFmtId="0" fontId="0" fillId="26" borderId="44" xfId="0" applyFill="1" applyBorder="1" applyAlignment="1">
      <alignment horizontal="center" vertical="center" wrapText="1"/>
    </xf>
    <xf numFmtId="0" fontId="0" fillId="27" borderId="44" xfId="0" applyFill="1" applyBorder="1" applyAlignment="1">
      <alignment horizontal="center" vertical="center"/>
    </xf>
    <xf numFmtId="0" fontId="26" fillId="29" borderId="44" xfId="0" applyFont="1" applyFill="1" applyBorder="1" applyAlignment="1">
      <alignment horizontal="center" vertical="center" wrapText="1"/>
    </xf>
    <xf numFmtId="0" fontId="0" fillId="32" borderId="44" xfId="0" applyFill="1" applyBorder="1" applyAlignment="1">
      <alignment horizontal="center" vertical="center"/>
    </xf>
    <xf numFmtId="0" fontId="7" fillId="0" borderId="13" xfId="0" applyFont="1" applyBorder="1" applyAlignment="1">
      <alignment vertical="top" wrapText="1"/>
    </xf>
    <xf numFmtId="0" fontId="20" fillId="0" borderId="13" xfId="2" applyBorder="1" applyAlignment="1">
      <alignment horizontal="left" vertical="top" wrapText="1"/>
    </xf>
    <xf numFmtId="0" fontId="13" fillId="0" borderId="13" xfId="0" applyFont="1" applyBorder="1" applyAlignment="1">
      <alignment vertical="top" wrapText="1"/>
    </xf>
    <xf numFmtId="0" fontId="6" fillId="0" borderId="13" xfId="0" applyFont="1" applyBorder="1" applyAlignment="1">
      <alignment vertical="top" wrapText="1"/>
    </xf>
    <xf numFmtId="0" fontId="19" fillId="0" borderId="13" xfId="0" applyFont="1" applyBorder="1" applyAlignment="1">
      <alignment vertical="top" wrapText="1"/>
    </xf>
    <xf numFmtId="0" fontId="27" fillId="0" borderId="13" xfId="0" applyFont="1" applyBorder="1" applyAlignment="1">
      <alignment vertical="top" wrapText="1"/>
    </xf>
    <xf numFmtId="0" fontId="20" fillId="0" borderId="13" xfId="2" applyBorder="1" applyAlignment="1">
      <alignment vertical="top" wrapText="1"/>
    </xf>
    <xf numFmtId="0" fontId="13" fillId="0" borderId="12" xfId="0" applyFont="1" applyBorder="1" applyAlignment="1">
      <alignment vertical="top" wrapText="1"/>
    </xf>
    <xf numFmtId="0" fontId="6" fillId="0" borderId="0" xfId="0" applyFont="1" applyAlignment="1">
      <alignment vertical="top" wrapText="1"/>
    </xf>
    <xf numFmtId="0" fontId="27" fillId="0" borderId="12" xfId="0" applyFont="1" applyBorder="1" applyAlignment="1">
      <alignment vertical="top" wrapText="1"/>
    </xf>
    <xf numFmtId="0" fontId="13" fillId="0" borderId="9" xfId="0" applyFont="1" applyBorder="1" applyAlignment="1">
      <alignment vertical="top" wrapText="1"/>
    </xf>
    <xf numFmtId="0" fontId="0" fillId="26" borderId="9" xfId="0" applyFill="1" applyBorder="1" applyAlignment="1">
      <alignment horizontal="center" vertical="center"/>
    </xf>
    <xf numFmtId="0" fontId="0" fillId="26" borderId="15" xfId="0" applyFill="1" applyBorder="1" applyAlignment="1">
      <alignment horizontal="center" vertical="center"/>
    </xf>
    <xf numFmtId="0" fontId="0" fillId="32" borderId="15" xfId="0" applyFill="1" applyBorder="1" applyAlignment="1">
      <alignment horizontal="center" vertical="center"/>
    </xf>
    <xf numFmtId="0" fontId="0" fillId="30" borderId="15" xfId="0" applyFill="1" applyBorder="1" applyAlignment="1">
      <alignment horizontal="center" vertical="center"/>
    </xf>
    <xf numFmtId="0" fontId="0" fillId="0" borderId="15" xfId="0" applyBorder="1" applyAlignment="1">
      <alignment horizontal="left" vertical="top"/>
    </xf>
    <xf numFmtId="0" fontId="1" fillId="19" borderId="15" xfId="0" applyFont="1" applyFill="1" applyBorder="1" applyAlignment="1">
      <alignment vertical="top" wrapText="1"/>
    </xf>
    <xf numFmtId="0" fontId="0" fillId="26" borderId="13" xfId="0" applyFill="1" applyBorder="1" applyAlignment="1">
      <alignment horizontal="center" vertical="center"/>
    </xf>
    <xf numFmtId="0" fontId="0" fillId="31" borderId="13" xfId="0" applyFill="1" applyBorder="1" applyAlignment="1">
      <alignment horizontal="center" vertical="center" wrapText="1"/>
    </xf>
    <xf numFmtId="0" fontId="0" fillId="19" borderId="13" xfId="0" applyFill="1" applyBorder="1" applyAlignment="1">
      <alignment horizontal="left" vertical="top" wrapText="1"/>
    </xf>
    <xf numFmtId="0" fontId="13" fillId="31" borderId="13" xfId="0" applyFont="1" applyFill="1" applyBorder="1" applyAlignment="1">
      <alignment horizontal="left" vertical="top" wrapText="1"/>
    </xf>
    <xf numFmtId="0" fontId="20" fillId="0" borderId="13" xfId="2" applyBorder="1" applyAlignment="1">
      <alignment vertical="top"/>
    </xf>
    <xf numFmtId="0" fontId="13" fillId="0" borderId="39" xfId="0" applyFont="1" applyBorder="1" applyAlignment="1">
      <alignment horizontal="left" vertical="top" wrapText="1"/>
    </xf>
    <xf numFmtId="0" fontId="0" fillId="0" borderId="16" xfId="0" applyBorder="1" applyAlignment="1">
      <alignment horizontal="left" vertical="top" wrapText="1"/>
    </xf>
    <xf numFmtId="0" fontId="7" fillId="0" borderId="0" xfId="0" applyFont="1" applyAlignment="1">
      <alignment vertical="top"/>
    </xf>
    <xf numFmtId="0" fontId="10" fillId="19" borderId="13" xfId="0" applyFont="1" applyFill="1" applyBorder="1" applyAlignment="1">
      <alignment horizontal="center" vertical="top" wrapText="1"/>
    </xf>
    <xf numFmtId="0" fontId="25" fillId="0" borderId="13" xfId="0" applyFont="1" applyBorder="1"/>
    <xf numFmtId="0" fontId="20" fillId="0" borderId="13" xfId="2" applyBorder="1" applyAlignment="1"/>
    <xf numFmtId="0" fontId="1" fillId="0" borderId="44" xfId="0" applyFont="1" applyBorder="1" applyAlignment="1">
      <alignment vertical="top"/>
    </xf>
    <xf numFmtId="0" fontId="10" fillId="0" borderId="45" xfId="0" applyFont="1" applyBorder="1" applyAlignment="1">
      <alignment horizontal="center" vertical="top" wrapText="1"/>
    </xf>
    <xf numFmtId="0" fontId="10" fillId="0" borderId="44" xfId="0" applyFont="1" applyBorder="1" applyAlignment="1">
      <alignment horizontal="center" vertical="top" wrapText="1"/>
    </xf>
    <xf numFmtId="0" fontId="28" fillId="0" borderId="13" xfId="2" applyFont="1" applyBorder="1" applyAlignment="1">
      <alignment horizontal="left" vertical="top"/>
    </xf>
    <xf numFmtId="0" fontId="28" fillId="0" borderId="13" xfId="2" applyFont="1" applyBorder="1" applyAlignment="1">
      <alignment horizontal="left" vertical="top" wrapText="1"/>
    </xf>
    <xf numFmtId="0" fontId="29" fillId="0" borderId="13" xfId="0" applyFont="1" applyBorder="1" applyAlignment="1">
      <alignment horizontal="left" vertical="top" wrapText="1"/>
    </xf>
    <xf numFmtId="0" fontId="1" fillId="0" borderId="1" xfId="0" applyFont="1" applyBorder="1" applyAlignment="1">
      <alignment vertical="top" wrapText="1"/>
    </xf>
    <xf numFmtId="0" fontId="1" fillId="12" borderId="10" xfId="0" applyFont="1" applyFill="1" applyBorder="1" applyAlignment="1">
      <alignment vertical="top" wrapText="1"/>
    </xf>
    <xf numFmtId="0" fontId="13" fillId="0" borderId="0" xfId="0" applyFont="1"/>
    <xf numFmtId="0" fontId="30" fillId="0" borderId="0" xfId="0" applyFont="1"/>
    <xf numFmtId="0" fontId="30" fillId="0" borderId="0" xfId="0" applyFont="1" applyAlignment="1">
      <alignment vertical="top" wrapText="1"/>
    </xf>
    <xf numFmtId="0" fontId="1" fillId="9" borderId="14" xfId="0" applyFont="1" applyFill="1" applyBorder="1" applyAlignment="1">
      <alignment vertical="top"/>
    </xf>
    <xf numFmtId="0" fontId="1" fillId="0" borderId="39" xfId="0" applyFont="1" applyBorder="1" applyAlignment="1">
      <alignment vertical="top"/>
    </xf>
    <xf numFmtId="0" fontId="1" fillId="15" borderId="39" xfId="0" applyFont="1" applyFill="1" applyBorder="1" applyAlignment="1">
      <alignment vertical="top"/>
    </xf>
    <xf numFmtId="0" fontId="10" fillId="0" borderId="39" xfId="0" applyFont="1" applyBorder="1" applyAlignment="1">
      <alignment vertical="top"/>
    </xf>
    <xf numFmtId="0" fontId="1" fillId="0" borderId="46" xfId="0" applyFont="1" applyBorder="1" applyAlignment="1">
      <alignment vertical="top"/>
    </xf>
    <xf numFmtId="0" fontId="20" fillId="0" borderId="13" xfId="2" applyBorder="1"/>
    <xf numFmtId="0" fontId="13" fillId="0" borderId="0" xfId="0" applyFont="1" applyAlignment="1">
      <alignment wrapText="1"/>
    </xf>
    <xf numFmtId="0" fontId="1" fillId="33" borderId="13" xfId="0" applyFont="1" applyFill="1" applyBorder="1" applyAlignment="1">
      <alignment vertical="top"/>
    </xf>
    <xf numFmtId="0" fontId="1" fillId="0" borderId="4" xfId="0" applyFont="1" applyBorder="1" applyAlignment="1">
      <alignment vertical="top" wrapText="1"/>
    </xf>
    <xf numFmtId="0" fontId="7" fillId="0" borderId="10" xfId="0" applyFont="1" applyBorder="1" applyAlignment="1">
      <alignment vertical="top" wrapText="1"/>
    </xf>
    <xf numFmtId="0" fontId="10" fillId="0" borderId="4" xfId="0" applyFont="1" applyBorder="1" applyAlignment="1">
      <alignment vertical="top" wrapText="1"/>
    </xf>
    <xf numFmtId="0" fontId="0" fillId="0" borderId="13" xfId="0" applyBorder="1" applyAlignment="1">
      <alignment wrapText="1"/>
    </xf>
    <xf numFmtId="0" fontId="1" fillId="0" borderId="2" xfId="0" applyFont="1" applyBorder="1" applyAlignment="1">
      <alignment vertical="top" wrapText="1"/>
    </xf>
    <xf numFmtId="0" fontId="7" fillId="0" borderId="13" xfId="0" applyFont="1" applyBorder="1" applyAlignment="1">
      <alignment vertical="top"/>
    </xf>
    <xf numFmtId="0" fontId="1" fillId="0" borderId="45" xfId="0" applyFont="1" applyBorder="1" applyAlignment="1">
      <alignment vertical="top"/>
    </xf>
    <xf numFmtId="0" fontId="1" fillId="0" borderId="13" xfId="0" applyFont="1" applyBorder="1" applyAlignment="1">
      <alignment horizontal="left" vertical="top" wrapText="1"/>
    </xf>
    <xf numFmtId="0" fontId="20" fillId="0" borderId="13" xfId="2" applyFill="1" applyBorder="1"/>
    <xf numFmtId="0" fontId="13" fillId="0" borderId="39" xfId="0" applyFont="1" applyBorder="1" applyAlignment="1">
      <alignment wrapText="1"/>
    </xf>
    <xf numFmtId="0" fontId="0" fillId="0" borderId="29" xfId="0" applyBorder="1"/>
    <xf numFmtId="0" fontId="1" fillId="0" borderId="29" xfId="0" applyFont="1" applyBorder="1" applyAlignment="1">
      <alignment vertical="top"/>
    </xf>
    <xf numFmtId="0" fontId="1" fillId="0" borderId="16" xfId="0" applyFont="1" applyBorder="1" applyAlignment="1">
      <alignment vertical="top"/>
    </xf>
    <xf numFmtId="0" fontId="1" fillId="0" borderId="42" xfId="0" applyFont="1" applyBorder="1" applyAlignment="1">
      <alignment horizontal="right" vertical="top"/>
    </xf>
    <xf numFmtId="0" fontId="1" fillId="0" borderId="42" xfId="0" applyFont="1" applyBorder="1" applyAlignment="1">
      <alignment horizontal="right" vertical="top" wrapText="1"/>
    </xf>
    <xf numFmtId="0" fontId="1" fillId="0" borderId="2" xfId="0" applyFont="1" applyBorder="1" applyAlignment="1">
      <alignment horizontal="right" vertical="top" wrapText="1"/>
    </xf>
    <xf numFmtId="0" fontId="1" fillId="0" borderId="39" xfId="0" applyFont="1" applyBorder="1" applyAlignment="1">
      <alignment horizontal="right" vertical="top"/>
    </xf>
    <xf numFmtId="0" fontId="1" fillId="0" borderId="39" xfId="0" applyFont="1" applyBorder="1" applyAlignment="1">
      <alignment horizontal="right" vertical="top" wrapText="1"/>
    </xf>
    <xf numFmtId="0" fontId="1" fillId="0" borderId="5" xfId="0" applyFont="1" applyBorder="1" applyAlignment="1">
      <alignment horizontal="right" vertical="top" wrapText="1"/>
    </xf>
    <xf numFmtId="0" fontId="1" fillId="33" borderId="42" xfId="0" applyFont="1" applyFill="1" applyBorder="1" applyAlignment="1">
      <alignment horizontal="right" vertical="top" wrapText="1"/>
    </xf>
    <xf numFmtId="0" fontId="0" fillId="0" borderId="0" xfId="0" applyAlignment="1">
      <alignment horizontal="right"/>
    </xf>
    <xf numFmtId="0" fontId="1" fillId="33" borderId="45" xfId="0" applyFont="1" applyFill="1" applyBorder="1" applyAlignment="1">
      <alignment vertical="top"/>
    </xf>
    <xf numFmtId="0" fontId="1" fillId="0" borderId="13" xfId="0" applyFont="1" applyBorder="1" applyAlignment="1">
      <alignment horizontal="center" vertical="top" wrapText="1"/>
    </xf>
    <xf numFmtId="0" fontId="7" fillId="0" borderId="13" xfId="0" applyFont="1" applyBorder="1"/>
    <xf numFmtId="0" fontId="0" fillId="0" borderId="0" xfId="0" applyAlignment="1">
      <alignment horizontal="left" vertical="top"/>
    </xf>
    <xf numFmtId="0" fontId="0" fillId="0" borderId="29" xfId="0" applyBorder="1" applyAlignment="1">
      <alignment horizontal="left" vertical="top"/>
    </xf>
    <xf numFmtId="0" fontId="0" fillId="0" borderId="45" xfId="0" applyBorder="1"/>
    <xf numFmtId="0" fontId="0" fillId="0" borderId="18" xfId="0" applyBorder="1"/>
    <xf numFmtId="0" fontId="1" fillId="15" borderId="27" xfId="0" applyFont="1" applyFill="1" applyBorder="1" applyAlignment="1">
      <alignment vertical="top"/>
    </xf>
    <xf numFmtId="0" fontId="1" fillId="15" borderId="44" xfId="0" applyFont="1" applyFill="1" applyBorder="1" applyAlignment="1">
      <alignment vertical="top"/>
    </xf>
    <xf numFmtId="0" fontId="0" fillId="0" borderId="39" xfId="0" applyBorder="1" applyAlignment="1">
      <alignment horizontal="right"/>
    </xf>
    <xf numFmtId="0" fontId="10" fillId="0" borderId="39" xfId="0" applyFont="1" applyBorder="1" applyAlignment="1">
      <alignment horizontal="right" vertical="top" wrapText="1"/>
    </xf>
    <xf numFmtId="0" fontId="1" fillId="15" borderId="39" xfId="0" applyFont="1" applyFill="1" applyBorder="1" applyAlignment="1">
      <alignment horizontal="right" vertical="top" wrapText="1"/>
    </xf>
    <xf numFmtId="0" fontId="1" fillId="15" borderId="39" xfId="0" quotePrefix="1" applyFont="1" applyFill="1" applyBorder="1" applyAlignment="1">
      <alignment horizontal="right" vertical="top" wrapText="1"/>
    </xf>
    <xf numFmtId="0" fontId="1" fillId="15" borderId="5" xfId="0" quotePrefix="1" applyFont="1" applyFill="1" applyBorder="1" applyAlignment="1">
      <alignment horizontal="right" vertical="top" wrapText="1"/>
    </xf>
    <xf numFmtId="0" fontId="1" fillId="15" borderId="42" xfId="0" applyFont="1" applyFill="1" applyBorder="1" applyAlignment="1">
      <alignment horizontal="right" vertical="top" wrapText="1"/>
    </xf>
    <xf numFmtId="0" fontId="1" fillId="0" borderId="29" xfId="0" applyFont="1" applyBorder="1" applyAlignment="1">
      <alignment horizontal="center" vertical="top" wrapText="1"/>
    </xf>
    <xf numFmtId="0" fontId="10" fillId="25" borderId="29" xfId="0" applyFont="1" applyFill="1" applyBorder="1" applyAlignment="1">
      <alignment horizontal="center" vertical="top" wrapText="1"/>
    </xf>
    <xf numFmtId="0" fontId="1" fillId="33" borderId="42" xfId="0" applyFont="1" applyFill="1" applyBorder="1" applyAlignment="1">
      <alignment horizontal="right" vertical="top"/>
    </xf>
    <xf numFmtId="0" fontId="1" fillId="33" borderId="2" xfId="0" applyFont="1" applyFill="1" applyBorder="1" applyAlignment="1">
      <alignment horizontal="right" vertical="top" wrapText="1"/>
    </xf>
    <xf numFmtId="0" fontId="1" fillId="0" borderId="39" xfId="0" applyFont="1" applyBorder="1" applyAlignment="1">
      <alignment horizontal="right"/>
    </xf>
    <xf numFmtId="0" fontId="10" fillId="0" borderId="18" xfId="0" applyFont="1" applyBorder="1" applyAlignment="1">
      <alignment horizontal="center" vertical="top" wrapText="1"/>
    </xf>
    <xf numFmtId="0" fontId="10" fillId="0" borderId="51" xfId="0" applyFont="1" applyBorder="1" applyAlignment="1">
      <alignment horizontal="center" vertical="top" wrapText="1"/>
    </xf>
    <xf numFmtId="0" fontId="20" fillId="0" borderId="13" xfId="2" applyBorder="1" applyAlignment="1">
      <alignment horizontal="left" vertical="top"/>
    </xf>
    <xf numFmtId="0" fontId="31" fillId="0" borderId="29" xfId="0" applyFont="1" applyBorder="1" applyAlignment="1">
      <alignment vertical="top"/>
    </xf>
    <xf numFmtId="0" fontId="31" fillId="33" borderId="29" xfId="0" applyFont="1" applyFill="1" applyBorder="1" applyAlignment="1">
      <alignment vertical="top"/>
    </xf>
    <xf numFmtId="0" fontId="32" fillId="0" borderId="29" xfId="2" applyFont="1" applyBorder="1"/>
    <xf numFmtId="0" fontId="31" fillId="0" borderId="29" xfId="0" applyFont="1" applyBorder="1" applyAlignment="1">
      <alignment vertical="top" wrapText="1"/>
    </xf>
    <xf numFmtId="0" fontId="32" fillId="0" borderId="29" xfId="2" applyFont="1" applyBorder="1" applyAlignment="1">
      <alignment vertical="top" wrapText="1"/>
    </xf>
    <xf numFmtId="0" fontId="31" fillId="0" borderId="18" xfId="0" applyFont="1" applyBorder="1" applyAlignment="1">
      <alignment vertical="top"/>
    </xf>
    <xf numFmtId="0" fontId="33" fillId="0" borderId="29" xfId="0" applyFont="1" applyBorder="1" applyAlignment="1">
      <alignment vertical="top"/>
    </xf>
    <xf numFmtId="0" fontId="32" fillId="0" borderId="29" xfId="2" applyFont="1" applyBorder="1" applyAlignment="1">
      <alignment vertical="top"/>
    </xf>
    <xf numFmtId="0" fontId="31" fillId="0" borderId="51" xfId="0" applyFont="1" applyBorder="1" applyAlignment="1">
      <alignment vertical="top"/>
    </xf>
    <xf numFmtId="0" fontId="32" fillId="0" borderId="29" xfId="2" applyFont="1" applyBorder="1" applyAlignment="1">
      <alignment horizontal="left" vertical="top"/>
    </xf>
    <xf numFmtId="0" fontId="33" fillId="0" borderId="29" xfId="0" applyFont="1" applyBorder="1"/>
    <xf numFmtId="0" fontId="32" fillId="0" borderId="29" xfId="2" applyFont="1" applyBorder="1" applyAlignment="1">
      <alignment horizontal="left"/>
    </xf>
    <xf numFmtId="0" fontId="32" fillId="0" borderId="29" xfId="2" applyFont="1" applyBorder="1" applyAlignment="1"/>
    <xf numFmtId="0" fontId="32" fillId="0" borderId="29" xfId="2" applyFont="1" applyFill="1" applyBorder="1"/>
    <xf numFmtId="0" fontId="31" fillId="0" borderId="29" xfId="0" applyFont="1" applyBorder="1"/>
    <xf numFmtId="0" fontId="31" fillId="15" borderId="0" xfId="0" applyFont="1" applyFill="1" applyAlignment="1">
      <alignment vertical="top"/>
    </xf>
    <xf numFmtId="0" fontId="32" fillId="0" borderId="0" xfId="2" applyFont="1" applyBorder="1" applyAlignment="1">
      <alignment vertical="top"/>
    </xf>
    <xf numFmtId="0" fontId="32" fillId="0" borderId="0" xfId="2" applyFont="1" applyBorder="1"/>
    <xf numFmtId="0" fontId="31" fillId="0" borderId="0" xfId="0" applyFont="1" applyAlignment="1">
      <alignment vertical="top"/>
    </xf>
    <xf numFmtId="0" fontId="31" fillId="0" borderId="0" xfId="0" applyFont="1"/>
    <xf numFmtId="0" fontId="32" fillId="0" borderId="0" xfId="2" applyFont="1" applyBorder="1" applyAlignment="1"/>
    <xf numFmtId="0" fontId="1" fillId="34" borderId="42" xfId="0" applyFont="1" applyFill="1" applyBorder="1" applyAlignment="1">
      <alignment vertical="top"/>
    </xf>
    <xf numFmtId="0" fontId="1" fillId="0" borderId="0" xfId="0" applyFont="1" applyAlignment="1">
      <alignment horizontal="right" vertical="top" wrapText="1"/>
    </xf>
    <xf numFmtId="0" fontId="20" fillId="0" borderId="0" xfId="2"/>
    <xf numFmtId="0" fontId="1" fillId="0" borderId="13" xfId="0" applyFont="1" applyBorder="1" applyAlignment="1">
      <alignment horizontal="right" vertical="top" wrapText="1"/>
    </xf>
    <xf numFmtId="0" fontId="32" fillId="0" borderId="13" xfId="2" applyFont="1" applyBorder="1" applyAlignment="1">
      <alignment horizontal="left" vertical="top"/>
    </xf>
    <xf numFmtId="0" fontId="34" fillId="0" borderId="13" xfId="2" applyFont="1" applyBorder="1" applyAlignment="1">
      <alignment horizontal="left" vertical="top"/>
    </xf>
    <xf numFmtId="0" fontId="34" fillId="0" borderId="13" xfId="2" applyFont="1" applyBorder="1" applyAlignment="1">
      <alignment horizontal="left" vertical="top" wrapText="1"/>
    </xf>
    <xf numFmtId="0" fontId="32" fillId="0" borderId="13" xfId="2" applyFont="1" applyBorder="1" applyAlignment="1">
      <alignment horizontal="left" vertical="top" wrapText="1"/>
    </xf>
    <xf numFmtId="0" fontId="1" fillId="9" borderId="1" xfId="0" applyFont="1" applyFill="1" applyBorder="1" applyAlignment="1">
      <alignment vertical="top"/>
    </xf>
    <xf numFmtId="0" fontId="1" fillId="0" borderId="5" xfId="0" applyFont="1" applyBorder="1" applyAlignment="1">
      <alignment horizontal="right" vertical="top"/>
    </xf>
    <xf numFmtId="0" fontId="20" fillId="0" borderId="44" xfId="2" applyBorder="1" applyAlignment="1">
      <alignment vertical="top" wrapText="1"/>
    </xf>
    <xf numFmtId="0" fontId="32" fillId="0" borderId="51" xfId="2" applyFont="1" applyBorder="1" applyAlignment="1">
      <alignment vertical="top" wrapText="1"/>
    </xf>
    <xf numFmtId="0" fontId="1" fillId="0" borderId="13" xfId="0" applyFont="1" applyBorder="1" applyAlignment="1">
      <alignment horizontal="left" vertical="top"/>
    </xf>
    <xf numFmtId="0" fontId="10" fillId="0" borderId="13" xfId="0" applyFont="1" applyBorder="1" applyAlignment="1">
      <alignment horizontal="right" vertical="top" wrapText="1"/>
    </xf>
    <xf numFmtId="0" fontId="32" fillId="0" borderId="13" xfId="0" applyFont="1" applyBorder="1" applyAlignment="1">
      <alignment horizontal="left" vertical="top" wrapText="1"/>
    </xf>
    <xf numFmtId="0" fontId="32" fillId="19" borderId="13" xfId="0" applyFont="1" applyFill="1" applyBorder="1" applyAlignment="1">
      <alignment horizontal="left" vertical="top"/>
    </xf>
    <xf numFmtId="0" fontId="0" fillId="33" borderId="13" xfId="0" applyFill="1" applyBorder="1" applyAlignment="1">
      <alignment horizontal="right" vertical="top"/>
    </xf>
    <xf numFmtId="0" fontId="1" fillId="33" borderId="13" xfId="0" applyFont="1" applyFill="1" applyBorder="1" applyAlignment="1">
      <alignment horizontal="left" vertical="top"/>
    </xf>
    <xf numFmtId="0" fontId="32" fillId="19" borderId="13" xfId="2" applyFont="1" applyFill="1" applyBorder="1" applyAlignment="1">
      <alignment horizontal="left" vertical="top"/>
    </xf>
    <xf numFmtId="0" fontId="35" fillId="0" borderId="13" xfId="2" applyFont="1" applyBorder="1" applyAlignment="1">
      <alignment horizontal="left" vertical="top"/>
    </xf>
    <xf numFmtId="0" fontId="0" fillId="33" borderId="13" xfId="0" applyFill="1" applyBorder="1" applyAlignment="1">
      <alignment horizontal="left" vertical="top"/>
    </xf>
    <xf numFmtId="0" fontId="31" fillId="33" borderId="13" xfId="0" applyFont="1" applyFill="1" applyBorder="1" applyAlignment="1">
      <alignment horizontal="left" vertical="top"/>
    </xf>
    <xf numFmtId="0" fontId="1" fillId="0" borderId="44" xfId="0" applyFont="1" applyBorder="1" applyAlignment="1">
      <alignment horizontal="left" vertical="top"/>
    </xf>
    <xf numFmtId="0" fontId="32" fillId="0" borderId="51" xfId="2" applyFont="1" applyBorder="1" applyAlignment="1">
      <alignment horizontal="left" vertical="top"/>
    </xf>
    <xf numFmtId="0" fontId="1" fillId="19" borderId="13" xfId="0" applyFont="1" applyFill="1" applyBorder="1" applyAlignment="1">
      <alignment vertical="top"/>
    </xf>
    <xf numFmtId="0" fontId="1" fillId="19" borderId="45" xfId="0" applyFont="1" applyFill="1" applyBorder="1" applyAlignment="1">
      <alignment vertical="top"/>
    </xf>
    <xf numFmtId="0" fontId="31" fillId="19" borderId="29" xfId="0" applyFont="1" applyFill="1" applyBorder="1" applyAlignment="1">
      <alignment vertical="top"/>
    </xf>
    <xf numFmtId="0" fontId="31" fillId="19" borderId="18" xfId="0" applyFont="1" applyFill="1" applyBorder="1" applyAlignment="1">
      <alignment vertical="top"/>
    </xf>
    <xf numFmtId="0" fontId="32" fillId="0" borderId="51" xfId="2" applyFont="1" applyBorder="1" applyAlignment="1">
      <alignment vertical="top"/>
    </xf>
    <xf numFmtId="0" fontId="32" fillId="0" borderId="13" xfId="2" applyFont="1" applyBorder="1" applyAlignment="1">
      <alignment vertical="top"/>
    </xf>
    <xf numFmtId="0" fontId="1" fillId="0" borderId="3" xfId="0" applyFont="1" applyBorder="1" applyAlignment="1">
      <alignment horizontal="left" vertical="top" wrapText="1"/>
    </xf>
    <xf numFmtId="0" fontId="1" fillId="9" borderId="3" xfId="0" applyFont="1" applyFill="1" applyBorder="1" applyAlignment="1">
      <alignment horizontal="left" vertical="top"/>
    </xf>
    <xf numFmtId="0" fontId="1" fillId="0" borderId="1"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10" xfId="0" applyFont="1" applyBorder="1" applyAlignment="1">
      <alignment horizontal="left" vertical="top" wrapText="1"/>
    </xf>
    <xf numFmtId="0" fontId="1" fillId="0" borderId="12" xfId="0" applyFont="1" applyBorder="1" applyAlignment="1">
      <alignment horizontal="left" vertical="top" wrapText="1"/>
    </xf>
    <xf numFmtId="0" fontId="1" fillId="9" borderId="40" xfId="0" applyFont="1" applyFill="1" applyBorder="1" applyAlignment="1">
      <alignment horizontal="left" vertical="top"/>
    </xf>
    <xf numFmtId="0" fontId="1" fillId="9" borderId="41" xfId="0" applyFont="1" applyFill="1" applyBorder="1" applyAlignment="1">
      <alignment horizontal="left" vertical="top"/>
    </xf>
    <xf numFmtId="0" fontId="1" fillId="8" borderId="10" xfId="0" applyFont="1" applyFill="1" applyBorder="1" applyAlignment="1">
      <alignment horizontal="left" vertical="top" wrapText="1"/>
    </xf>
    <xf numFmtId="0" fontId="1" fillId="8" borderId="11" xfId="0" applyFont="1" applyFill="1" applyBorder="1" applyAlignment="1">
      <alignment horizontal="left" vertical="top" wrapText="1"/>
    </xf>
    <xf numFmtId="0" fontId="1" fillId="8" borderId="52" xfId="0" applyFont="1" applyFill="1" applyBorder="1" applyAlignment="1">
      <alignment horizontal="left" vertical="top" wrapText="1"/>
    </xf>
    <xf numFmtId="0" fontId="1" fillId="8" borderId="12" xfId="0" applyFont="1" applyFill="1" applyBorder="1" applyAlignment="1">
      <alignment horizontal="left" vertical="top" wrapText="1"/>
    </xf>
    <xf numFmtId="0" fontId="1" fillId="0" borderId="13" xfId="0" applyFont="1" applyBorder="1" applyAlignment="1">
      <alignment horizontal="left" vertical="top"/>
    </xf>
    <xf numFmtId="0" fontId="1" fillId="8" borderId="10" xfId="0" applyFont="1" applyFill="1" applyBorder="1" applyAlignment="1">
      <alignment vertical="top" wrapText="1"/>
    </xf>
    <xf numFmtId="0" fontId="1" fillId="0" borderId="13" xfId="0" applyFont="1" applyBorder="1" applyAlignment="1">
      <alignment horizontal="left" vertical="top" wrapText="1"/>
    </xf>
    <xf numFmtId="0" fontId="1" fillId="0" borderId="40" xfId="0" applyFont="1" applyBorder="1" applyAlignment="1">
      <alignment horizontal="left" vertical="top"/>
    </xf>
    <xf numFmtId="0" fontId="1" fillId="0" borderId="43" xfId="0" applyFont="1" applyBorder="1" applyAlignment="1">
      <alignment horizontal="left" vertical="top"/>
    </xf>
    <xf numFmtId="0" fontId="1" fillId="0" borderId="41" xfId="0" applyFont="1" applyBorder="1" applyAlignment="1">
      <alignment horizontal="left" vertical="top"/>
    </xf>
    <xf numFmtId="0" fontId="10" fillId="0" borderId="13" xfId="0" applyFont="1" applyBorder="1" applyAlignment="1">
      <alignment horizontal="left" vertical="top"/>
    </xf>
    <xf numFmtId="0" fontId="1" fillId="0" borderId="45" xfId="0" applyFont="1" applyBorder="1" applyAlignment="1">
      <alignment horizontal="left" vertical="top" wrapText="1"/>
    </xf>
    <xf numFmtId="0" fontId="1" fillId="0" borderId="44" xfId="0" applyFont="1" applyBorder="1" applyAlignment="1">
      <alignment horizontal="left" vertical="top" wrapText="1"/>
    </xf>
    <xf numFmtId="0" fontId="1" fillId="0" borderId="45" xfId="0" applyFont="1" applyBorder="1" applyAlignment="1">
      <alignment horizontal="left" vertical="top"/>
    </xf>
    <xf numFmtId="0" fontId="1" fillId="0" borderId="44" xfId="0" applyFont="1" applyBorder="1" applyAlignment="1">
      <alignment horizontal="left" vertical="top"/>
    </xf>
    <xf numFmtId="0" fontId="10" fillId="0" borderId="13" xfId="0" applyFont="1" applyBorder="1" applyAlignment="1">
      <alignment horizontal="left" vertical="top" wrapText="1"/>
    </xf>
    <xf numFmtId="0" fontId="1" fillId="8" borderId="13" xfId="0" applyFont="1" applyFill="1" applyBorder="1" applyAlignment="1">
      <alignment horizontal="left" vertical="top" wrapText="1"/>
    </xf>
    <xf numFmtId="0" fontId="1" fillId="0" borderId="40" xfId="0" applyFont="1" applyBorder="1" applyAlignment="1">
      <alignment vertical="top" wrapText="1"/>
    </xf>
    <xf numFmtId="0" fontId="1" fillId="0" borderId="41" xfId="0" applyFont="1" applyBorder="1" applyAlignment="1">
      <alignment vertical="top" wrapText="1"/>
    </xf>
    <xf numFmtId="0" fontId="1" fillId="0" borderId="10" xfId="0" applyFont="1" applyBorder="1" applyAlignment="1">
      <alignment vertical="top" wrapText="1"/>
    </xf>
    <xf numFmtId="0" fontId="1" fillId="0" borderId="11" xfId="0" applyFont="1" applyBorder="1" applyAlignment="1">
      <alignment vertical="top" wrapText="1"/>
    </xf>
    <xf numFmtId="0" fontId="1" fillId="0" borderId="46" xfId="0" applyFont="1" applyBorder="1" applyAlignment="1">
      <alignment horizontal="left" vertical="top" wrapText="1"/>
    </xf>
    <xf numFmtId="0" fontId="1" fillId="0" borderId="47" xfId="0" applyFont="1" applyBorder="1" applyAlignment="1">
      <alignment vertical="top" wrapText="1"/>
    </xf>
    <xf numFmtId="0" fontId="1" fillId="0" borderId="48" xfId="0" applyFont="1" applyBorder="1" applyAlignment="1">
      <alignment vertical="top" wrapText="1"/>
    </xf>
    <xf numFmtId="0" fontId="1" fillId="0" borderId="49" xfId="0" applyFont="1" applyBorder="1" applyAlignment="1">
      <alignment vertical="top" wrapText="1"/>
    </xf>
    <xf numFmtId="0" fontId="1" fillId="0" borderId="50" xfId="0" applyFont="1" applyBorder="1" applyAlignment="1">
      <alignment vertical="top" wrapText="1"/>
    </xf>
    <xf numFmtId="0" fontId="7" fillId="0" borderId="10" xfId="0" applyFont="1" applyBorder="1" applyAlignment="1">
      <alignment vertical="top" wrapText="1"/>
    </xf>
    <xf numFmtId="0" fontId="1" fillId="0" borderId="10" xfId="0" applyFont="1" applyBorder="1" applyAlignment="1">
      <alignment vertical="top"/>
    </xf>
    <xf numFmtId="0" fontId="1" fillId="0" borderId="11" xfId="0" applyFont="1" applyBorder="1" applyAlignment="1">
      <alignment horizontal="left" vertical="top" wrapText="1"/>
    </xf>
    <xf numFmtId="0" fontId="1" fillId="8" borderId="4" xfId="0" applyFont="1" applyFill="1" applyBorder="1" applyAlignment="1">
      <alignment horizontal="left" vertical="top" wrapText="1"/>
    </xf>
    <xf numFmtId="0" fontId="1" fillId="0" borderId="1" xfId="0" applyFont="1" applyBorder="1" applyAlignment="1">
      <alignment horizontal="left" vertical="top"/>
    </xf>
    <xf numFmtId="0" fontId="1" fillId="0" borderId="4" xfId="0" applyFont="1" applyBorder="1" applyAlignment="1">
      <alignment horizontal="left" vertical="top"/>
    </xf>
    <xf numFmtId="0" fontId="1" fillId="15" borderId="10" xfId="0" applyFont="1" applyFill="1" applyBorder="1" applyAlignment="1">
      <alignment vertical="top"/>
    </xf>
    <xf numFmtId="0" fontId="4" fillId="15" borderId="11" xfId="0" applyFont="1" applyFill="1" applyBorder="1"/>
    <xf numFmtId="0" fontId="1" fillId="0" borderId="11" xfId="0" applyFont="1" applyBorder="1" applyAlignment="1">
      <alignment vertical="top"/>
    </xf>
    <xf numFmtId="0" fontId="1" fillId="0" borderId="12" xfId="0" applyFont="1" applyBorder="1" applyAlignment="1">
      <alignment vertical="top"/>
    </xf>
    <xf numFmtId="0" fontId="4" fillId="0" borderId="12" xfId="0" applyFont="1" applyBorder="1"/>
    <xf numFmtId="0" fontId="1" fillId="0" borderId="12" xfId="0" applyFont="1" applyBorder="1" applyAlignment="1">
      <alignment vertical="top" wrapText="1"/>
    </xf>
    <xf numFmtId="0" fontId="4" fillId="0" borderId="11" xfId="0" applyFont="1" applyBorder="1"/>
    <xf numFmtId="0" fontId="11" fillId="0" borderId="1" xfId="0" applyFont="1" applyBorder="1" applyAlignment="1">
      <alignment horizontal="left" vertical="top"/>
    </xf>
    <xf numFmtId="0" fontId="11" fillId="0" borderId="3" xfId="0" applyFont="1" applyBorder="1" applyAlignment="1">
      <alignment horizontal="left" vertical="top"/>
    </xf>
    <xf numFmtId="0" fontId="4" fillId="0" borderId="3" xfId="0" applyFont="1" applyBorder="1" applyAlignment="1">
      <alignment horizontal="left" vertical="top"/>
    </xf>
    <xf numFmtId="0" fontId="4" fillId="0" borderId="4" xfId="0" applyFont="1" applyBorder="1" applyAlignment="1">
      <alignment horizontal="left" vertical="top"/>
    </xf>
    <xf numFmtId="0" fontId="1" fillId="0" borderId="1" xfId="0" applyFont="1" applyBorder="1" applyAlignment="1">
      <alignment vertical="top" wrapText="1"/>
    </xf>
    <xf numFmtId="0" fontId="1" fillId="0" borderId="4" xfId="0" applyFont="1" applyBorder="1" applyAlignment="1">
      <alignment vertical="top" wrapText="1"/>
    </xf>
    <xf numFmtId="0" fontId="0" fillId="0" borderId="0" xfId="0" applyAlignment="1">
      <alignment wrapText="1"/>
    </xf>
    <xf numFmtId="0" fontId="1" fillId="0" borderId="3" xfId="0" applyFont="1" applyBorder="1" applyAlignment="1">
      <alignment vertical="top" wrapText="1"/>
    </xf>
    <xf numFmtId="0" fontId="10" fillId="0" borderId="1" xfId="0" applyFont="1" applyBorder="1" applyAlignment="1">
      <alignment vertical="top" wrapText="1"/>
    </xf>
    <xf numFmtId="0" fontId="10" fillId="0" borderId="4" xfId="0" applyFont="1" applyBorder="1" applyAlignment="1">
      <alignment vertical="top" wrapText="1"/>
    </xf>
    <xf numFmtId="0" fontId="1" fillId="0" borderId="43" xfId="0" applyFont="1" applyBorder="1" applyAlignment="1">
      <alignment vertical="top" wrapText="1"/>
    </xf>
    <xf numFmtId="0" fontId="0" fillId="0" borderId="45" xfId="0" applyBorder="1" applyAlignment="1">
      <alignment vertical="top" wrapText="1"/>
    </xf>
    <xf numFmtId="0" fontId="0" fillId="0" borderId="46" xfId="0" applyBorder="1" applyAlignment="1">
      <alignment vertical="top" wrapText="1"/>
    </xf>
    <xf numFmtId="0" fontId="0" fillId="0" borderId="44" xfId="0" applyBorder="1" applyAlignment="1">
      <alignment vertical="top" wrapText="1"/>
    </xf>
    <xf numFmtId="0" fontId="4" fillId="0" borderId="13" xfId="0" applyFont="1" applyBorder="1" applyAlignment="1">
      <alignment vertical="top"/>
    </xf>
    <xf numFmtId="0" fontId="1" fillId="0" borderId="29" xfId="0" applyFont="1" applyBorder="1" applyAlignment="1">
      <alignment vertical="top" wrapText="1"/>
    </xf>
    <xf numFmtId="0" fontId="14" fillId="0" borderId="0" xfId="0" applyFont="1" applyAlignment="1">
      <alignment horizontal="center" vertical="top" wrapText="1"/>
    </xf>
    <xf numFmtId="0" fontId="1" fillId="8" borderId="11" xfId="0" applyFont="1" applyFill="1" applyBorder="1" applyAlignment="1">
      <alignment vertical="top" wrapText="1"/>
    </xf>
    <xf numFmtId="0" fontId="11" fillId="0" borderId="10" xfId="0" applyFont="1" applyBorder="1" applyAlignment="1">
      <alignment horizontal="left" vertical="top"/>
    </xf>
    <xf numFmtId="0" fontId="11" fillId="0" borderId="11" xfId="0" applyFont="1" applyBorder="1" applyAlignment="1">
      <alignment horizontal="left" vertical="top"/>
    </xf>
    <xf numFmtId="0" fontId="11" fillId="0" borderId="12" xfId="0" applyFont="1" applyBorder="1" applyAlignment="1">
      <alignment horizontal="left" vertical="top"/>
    </xf>
    <xf numFmtId="0" fontId="1" fillId="11" borderId="10" xfId="0" applyFont="1" applyFill="1" applyBorder="1" applyAlignment="1">
      <alignment vertical="top" wrapText="1"/>
    </xf>
    <xf numFmtId="0" fontId="1" fillId="11" borderId="11" xfId="0" applyFont="1" applyFill="1" applyBorder="1" applyAlignment="1">
      <alignment vertical="top" wrapText="1"/>
    </xf>
    <xf numFmtId="0" fontId="1" fillId="11" borderId="12" xfId="0" applyFont="1" applyFill="1" applyBorder="1" applyAlignment="1">
      <alignment vertical="top" wrapText="1"/>
    </xf>
    <xf numFmtId="0" fontId="5" fillId="0" borderId="10" xfId="0" applyFont="1" applyBorder="1" applyAlignment="1">
      <alignment vertical="top" wrapText="1"/>
    </xf>
    <xf numFmtId="0" fontId="5" fillId="8" borderId="10" xfId="0" applyFont="1" applyFill="1" applyBorder="1" applyAlignment="1">
      <alignment vertical="top" wrapText="1"/>
    </xf>
    <xf numFmtId="0" fontId="15" fillId="0" borderId="7" xfId="0" applyFont="1" applyBorder="1" applyAlignment="1">
      <alignment horizontal="center" vertical="top" textRotation="90"/>
    </xf>
    <xf numFmtId="0" fontId="14" fillId="0" borderId="7" xfId="0" applyFont="1" applyBorder="1" applyAlignment="1">
      <alignment horizontal="center" vertical="top" textRotation="90"/>
    </xf>
    <xf numFmtId="0" fontId="1" fillId="8" borderId="12" xfId="0" applyFont="1" applyFill="1" applyBorder="1" applyAlignment="1">
      <alignment vertical="top" wrapText="1"/>
    </xf>
    <xf numFmtId="0" fontId="1" fillId="12" borderId="10" xfId="0" applyFont="1" applyFill="1" applyBorder="1" applyAlignment="1">
      <alignment vertical="top" wrapText="1"/>
    </xf>
    <xf numFmtId="0" fontId="4" fillId="15" borderId="12" xfId="0" applyFont="1" applyFill="1" applyBorder="1"/>
    <xf numFmtId="0" fontId="20" fillId="33" borderId="13" xfId="2" applyFill="1" applyBorder="1" applyAlignment="1">
      <alignment vertical="top"/>
    </xf>
  </cellXfs>
  <cellStyles count="3">
    <cellStyle name="Hyperlink" xfId="2" builtinId="8"/>
    <cellStyle name="Normal" xfId="0" builtinId="0"/>
    <cellStyle name="Standaard 2" xfId="1" xr:uid="{E775D1F7-5347-4C29-BD9F-B3957D0479EC}"/>
  </cellStyles>
  <dxfs count="102">
    <dxf>
      <fill>
        <patternFill>
          <bgColor theme="6" tint="0.59996337778862885"/>
        </patternFill>
      </fill>
    </dxf>
    <dxf>
      <font>
        <color rgb="FF000000"/>
      </font>
      <fill>
        <patternFill patternType="solid">
          <fgColor rgb="FFCCCCCC"/>
          <bgColor rgb="FFCCCCCC"/>
        </patternFill>
      </fill>
    </dxf>
    <dxf>
      <fill>
        <patternFill patternType="solid">
          <fgColor rgb="FFFCE8B2"/>
          <bgColor rgb="FFFCE8B2"/>
        </patternFill>
      </fill>
    </dxf>
    <dxf>
      <fill>
        <patternFill patternType="solid">
          <fgColor rgb="FFD9EAD3"/>
          <bgColor rgb="FFD9EAD3"/>
        </patternFill>
      </fill>
    </dxf>
    <dxf>
      <fill>
        <patternFill patternType="solid">
          <fgColor rgb="FFF4CCCC"/>
          <bgColor rgb="FFF4CCCC"/>
        </patternFill>
      </fill>
    </dxf>
    <dxf>
      <fill>
        <patternFill patternType="solid">
          <fgColor rgb="FFCCCCCC"/>
          <bgColor rgb="FFCCCCCC"/>
        </patternFill>
      </fill>
    </dxf>
    <dxf>
      <fill>
        <patternFill patternType="solid">
          <fgColor rgb="FFD9EAD3"/>
          <bgColor rgb="FFD9EAD3"/>
        </patternFill>
      </fill>
    </dxf>
    <dxf>
      <fill>
        <patternFill patternType="solid">
          <fgColor rgb="FFFCE5CD"/>
          <bgColor rgb="FFFCE5CD"/>
        </patternFill>
      </fill>
    </dxf>
    <dxf>
      <fill>
        <patternFill patternType="solid">
          <fgColor rgb="FFCCCCCC"/>
          <bgColor rgb="FFCCCCCC"/>
        </patternFill>
      </fill>
    </dxf>
    <dxf>
      <fill>
        <patternFill patternType="solid">
          <fgColor rgb="FFD9EAD3"/>
          <bgColor rgb="FFD9EAD3"/>
        </patternFill>
      </fill>
    </dxf>
    <dxf>
      <fill>
        <patternFill patternType="solid">
          <fgColor rgb="FFD9D9D9"/>
          <bgColor rgb="FFD9D9D9"/>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D9EAD3"/>
          <bgColor rgb="FFD9EAD3"/>
        </patternFill>
      </fill>
    </dxf>
    <dxf>
      <fill>
        <patternFill patternType="solid">
          <fgColor rgb="FFFCE8B2"/>
          <bgColor rgb="FFFCE8B2"/>
        </patternFill>
      </fill>
    </dxf>
    <dxf>
      <fill>
        <patternFill>
          <bgColor theme="6" tint="0.59996337778862885"/>
        </patternFill>
      </fill>
    </dxf>
    <dxf>
      <font>
        <color rgb="FF000000"/>
      </font>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CE5CD"/>
          <bgColor rgb="FFFCE5CD"/>
        </patternFill>
      </fill>
    </dxf>
    <dxf>
      <fill>
        <patternFill patternType="solid">
          <fgColor rgb="FFD9EAD3"/>
          <bgColor rgb="FFD9EAD3"/>
        </patternFill>
      </fill>
    </dxf>
    <dxf>
      <fill>
        <patternFill patternType="solid">
          <fgColor rgb="FFCCCCCC"/>
          <bgColor rgb="FFCCCCCC"/>
        </patternFill>
      </fill>
    </dxf>
    <dxf>
      <fill>
        <patternFill patternType="solid">
          <fgColor rgb="FFD9EAD3"/>
          <bgColor rgb="FFD9EAD3"/>
        </patternFill>
      </fill>
    </dxf>
    <dxf>
      <fill>
        <patternFill patternType="solid">
          <fgColor rgb="FFFCE5CD"/>
          <bgColor rgb="FFFCE5CD"/>
        </patternFill>
      </fill>
    </dxf>
    <dxf>
      <font>
        <color rgb="FFFF0000"/>
      </font>
    </dxf>
    <dxf>
      <fill>
        <patternFill patternType="solid">
          <fgColor rgb="FFB6D7A8"/>
          <bgColor rgb="FFB6D7A8"/>
        </patternFill>
      </fill>
    </dxf>
    <dxf>
      <fill>
        <patternFill patternType="solid">
          <fgColor rgb="FFF4CCCC"/>
          <bgColor rgb="FFF4CCCC"/>
        </patternFill>
      </fill>
    </dxf>
    <dxf>
      <fill>
        <patternFill patternType="solid">
          <fgColor rgb="FFFCE5CD"/>
          <bgColor rgb="FFFCE5CD"/>
        </patternFill>
      </fill>
    </dxf>
    <dxf>
      <fill>
        <patternFill patternType="solid">
          <fgColor rgb="FFFCE5CD"/>
          <bgColor rgb="FFFCE5CD"/>
        </patternFill>
      </fill>
    </dxf>
    <dxf>
      <fill>
        <patternFill patternType="solid">
          <fgColor rgb="FFB6D7A8"/>
          <bgColor rgb="FFB6D7A8"/>
        </patternFill>
      </fill>
    </dxf>
    <dxf>
      <fill>
        <patternFill patternType="solid">
          <fgColor rgb="FFF4CCCC"/>
          <bgColor rgb="FFF4CCCC"/>
        </patternFill>
      </fill>
    </dxf>
    <dxf>
      <fill>
        <patternFill patternType="solid">
          <fgColor rgb="FFFCE5CD"/>
          <bgColor rgb="FFFCE5CD"/>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B6D7A8"/>
          <bgColor rgb="FFB6D7A8"/>
        </patternFill>
      </fill>
    </dxf>
    <dxf>
      <fill>
        <patternFill patternType="solid">
          <fgColor rgb="FFFCE5CD"/>
          <bgColor rgb="FFFCE5CD"/>
        </patternFill>
      </fill>
    </dxf>
    <dxf>
      <fill>
        <patternFill patternType="solid">
          <fgColor rgb="FFB6D7A8"/>
          <bgColor rgb="FFB6D7A8"/>
        </patternFill>
      </fill>
    </dxf>
    <dxf>
      <fill>
        <patternFill patternType="solid">
          <fgColor rgb="FFF4CCCC"/>
          <bgColor rgb="FFF4CCCC"/>
        </patternFill>
      </fill>
    </dxf>
    <dxf>
      <fill>
        <patternFill patternType="solid">
          <fgColor rgb="FFFCE5CD"/>
          <bgColor rgb="FFFCE5CD"/>
        </patternFill>
      </fill>
    </dxf>
    <dxf>
      <fill>
        <patternFill patternType="solid">
          <fgColor rgb="FFFCE5CD"/>
          <bgColor rgb="FFFCE5CD"/>
        </patternFill>
      </fill>
    </dxf>
    <dxf>
      <fill>
        <patternFill patternType="solid">
          <fgColor rgb="FFB6D7A8"/>
          <bgColor rgb="FFB6D7A8"/>
        </patternFill>
      </fill>
    </dxf>
    <dxf>
      <fill>
        <patternFill patternType="solid">
          <fgColor rgb="FFF4CCCC"/>
          <bgColor rgb="FFF4CCCC"/>
        </patternFill>
      </fill>
    </dxf>
    <dxf>
      <fill>
        <patternFill patternType="solid">
          <fgColor rgb="FFFCE5CD"/>
          <bgColor rgb="FFFCE5CD"/>
        </patternFill>
      </fill>
    </dxf>
    <dxf>
      <fill>
        <patternFill patternType="solid">
          <fgColor rgb="FFFCE5CD"/>
          <bgColor rgb="FFFCE5CD"/>
        </patternFill>
      </fill>
    </dxf>
    <dxf>
      <fill>
        <patternFill patternType="solid">
          <fgColor rgb="FFFCE5CD"/>
          <bgColor rgb="FFFCE5CD"/>
        </patternFill>
      </fill>
    </dxf>
    <dxf>
      <fill>
        <patternFill patternType="solid">
          <fgColor rgb="FFB6D7A8"/>
          <bgColor rgb="FFB6D7A8"/>
        </patternFill>
      </fill>
    </dxf>
    <dxf>
      <fill>
        <patternFill patternType="solid">
          <fgColor rgb="FFFCE5CD"/>
          <bgColor rgb="FFFCE5CD"/>
        </patternFill>
      </fill>
    </dxf>
    <dxf>
      <fill>
        <patternFill patternType="solid">
          <fgColor rgb="FFF4CCCC"/>
          <bgColor rgb="FFF4CCCC"/>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B6D7A8"/>
          <bgColor rgb="FFB6D7A8"/>
        </patternFill>
      </fill>
    </dxf>
    <dxf>
      <fill>
        <patternFill patternType="solid">
          <fgColor rgb="FFCCCCCC"/>
          <bgColor rgb="FFCCCCCC"/>
        </patternFill>
      </fill>
    </dxf>
    <dxf>
      <fill>
        <patternFill>
          <bgColor theme="2" tint="-0.14996795556505021"/>
        </patternFill>
      </fill>
    </dxf>
    <dxf>
      <fill>
        <patternFill>
          <bgColor theme="2" tint="-0.14996795556505021"/>
        </patternFill>
      </fill>
    </dxf>
    <dxf>
      <fill>
        <patternFill patternType="solid">
          <fgColor rgb="FFFCE5CD"/>
          <bgColor rgb="FFFCE5CD"/>
        </patternFill>
      </fill>
    </dxf>
    <dxf>
      <fill>
        <patternFill patternType="solid">
          <fgColor rgb="FFFCE5CD"/>
          <bgColor rgb="FFFCE5CD"/>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D9EAD3"/>
          <bgColor rgb="FFD9EAD3"/>
        </patternFill>
      </fill>
    </dxf>
    <dxf>
      <fill>
        <patternFill patternType="solid">
          <fgColor rgb="FFD9EAD3"/>
          <bgColor rgb="FFD9EAD3"/>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B6D7A8"/>
          <bgColor rgb="FFB6D7A8"/>
        </patternFill>
      </fill>
    </dxf>
    <dxf>
      <fill>
        <patternFill patternType="solid">
          <fgColor rgb="FFD9EAD3"/>
          <bgColor rgb="FFD9EAD3"/>
        </patternFill>
      </fill>
    </dxf>
    <dxf>
      <fill>
        <patternFill patternType="solid">
          <fgColor rgb="FFB6D7A8"/>
          <bgColor rgb="FFB6D7A8"/>
        </patternFill>
      </fill>
    </dxf>
    <dxf>
      <fill>
        <patternFill patternType="solid">
          <fgColor rgb="FFFCE5CD"/>
          <bgColor rgb="FFFCE5CD"/>
        </patternFill>
      </fill>
    </dxf>
    <dxf>
      <fill>
        <patternFill patternType="solid">
          <fgColor rgb="FFF4CCCC"/>
          <bgColor rgb="FFF4CCCC"/>
        </patternFill>
      </fill>
    </dxf>
    <dxf>
      <fill>
        <patternFill patternType="solid">
          <fgColor rgb="FFFCE5CD"/>
          <bgColor rgb="FFFCE5CD"/>
        </patternFill>
      </fill>
    </dxf>
    <dxf>
      <fill>
        <patternFill patternType="solid">
          <fgColor rgb="FFD9EAD3"/>
          <bgColor rgb="FFD9EAD3"/>
        </patternFill>
      </fill>
    </dxf>
    <dxf>
      <fill>
        <patternFill patternType="solid">
          <fgColor rgb="FFD9EAD3"/>
          <bgColor rgb="FFD9EAD3"/>
        </patternFill>
      </fill>
    </dxf>
    <dxf>
      <fill>
        <patternFill patternType="solid">
          <fgColor rgb="FFD9EAD3"/>
          <bgColor rgb="FFD9EAD3"/>
        </patternFill>
      </fill>
    </dxf>
    <dxf>
      <fill>
        <patternFill patternType="solid">
          <fgColor rgb="FFB6D7A8"/>
          <bgColor rgb="FFB6D7A8"/>
        </patternFill>
      </fill>
    </dxf>
    <dxf>
      <fill>
        <patternFill patternType="solid">
          <fgColor rgb="FFD9EAD3"/>
          <bgColor rgb="FFD9EAD3"/>
        </patternFill>
      </fill>
    </dxf>
    <dxf>
      <fill>
        <patternFill patternType="solid">
          <fgColor rgb="FFD9D9D9"/>
          <bgColor rgb="FFD9D9D9"/>
        </patternFill>
      </fill>
    </dxf>
    <dxf>
      <fill>
        <patternFill patternType="solid">
          <fgColor rgb="FFD9EAD3"/>
          <bgColor rgb="FFD9EAD3"/>
        </patternFill>
      </fill>
    </dxf>
    <dxf>
      <fill>
        <patternFill patternType="solid">
          <fgColor rgb="FFB6D7A8"/>
          <bgColor rgb="FFB6D7A8"/>
        </patternFill>
      </fill>
    </dxf>
    <dxf>
      <fill>
        <patternFill patternType="solid">
          <fgColor rgb="FFFCE5CD"/>
          <bgColor rgb="FFFCE5CD"/>
        </patternFill>
      </fill>
    </dxf>
    <dxf>
      <fill>
        <patternFill patternType="solid">
          <fgColor rgb="FFFCE5CD"/>
          <bgColor rgb="FFFCE5CD"/>
        </patternFill>
      </fill>
    </dxf>
    <dxf>
      <fill>
        <patternFill patternType="solid">
          <fgColor rgb="FFD9D9D9"/>
          <bgColor rgb="FFD9D9D9"/>
        </patternFill>
      </fill>
    </dxf>
    <dxf>
      <fill>
        <patternFill patternType="solid">
          <fgColor rgb="FFFCE5CD"/>
          <bgColor rgb="FFFCE5CD"/>
        </patternFill>
      </fill>
    </dxf>
    <dxf>
      <fill>
        <patternFill patternType="solid">
          <fgColor rgb="FFF4CCCC"/>
          <bgColor rgb="FFF4CCCC"/>
        </patternFill>
      </fill>
    </dxf>
    <dxf>
      <fill>
        <patternFill patternType="solid">
          <fgColor rgb="FFFCE5CD"/>
          <bgColor rgb="FFFCE5CD"/>
        </patternFill>
      </fill>
    </dxf>
    <dxf>
      <fill>
        <patternFill patternType="solid">
          <fgColor rgb="FFB6D7A8"/>
          <bgColor rgb="FFB6D7A8"/>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F4CCCC"/>
          <bgColor rgb="FFF4CCCC"/>
        </patternFill>
      </fill>
    </dxf>
    <dxf>
      <fill>
        <patternFill patternType="solid">
          <fgColor rgb="FFFCE5CD"/>
          <bgColor rgb="FFFCE5CD"/>
        </patternFill>
      </fill>
    </dxf>
    <dxf>
      <fill>
        <patternFill patternType="solid">
          <fgColor rgb="FFFCE5CD"/>
          <bgColor rgb="FFFCE5CD"/>
        </patternFill>
      </fill>
    </dxf>
    <dxf>
      <fill>
        <patternFill patternType="solid">
          <fgColor rgb="FFB6D7A8"/>
          <bgColor rgb="FFB6D7A8"/>
        </patternFill>
      </fill>
    </dxf>
    <dxf>
      <fill>
        <patternFill>
          <bgColor theme="4" tint="0.39994506668294322"/>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comtradeplus.un.org/" TargetMode="External"/><Relationship Id="rId21" Type="http://schemas.openxmlformats.org/officeDocument/2006/relationships/hyperlink" Target="https://commission.europa.eu/funding-tenders/find-funding/eu-funding-programmes/european-regional-development-fund-erdf_en" TargetMode="External"/><Relationship Id="rId42" Type="http://schemas.openxmlformats.org/officeDocument/2006/relationships/hyperlink" Target="https://worldpopulationreview.com/country-rankings/steel-production-by-country" TargetMode="External"/><Relationship Id="rId47" Type="http://schemas.openxmlformats.org/officeDocument/2006/relationships/hyperlink" Target="https://worldpopulationreview.com/country-rankings/wool-production-by-country" TargetMode="External"/><Relationship Id="rId63" Type="http://schemas.openxmlformats.org/officeDocument/2006/relationships/hyperlink" Target="https://fred.stlouisfed.org/series/WPU072C" TargetMode="External"/><Relationship Id="rId68" Type="http://schemas.openxmlformats.org/officeDocument/2006/relationships/hyperlink" Target="https://www.bouwprofi.nl/klusadvies/verschil-fsc-en-pefc" TargetMode="External"/><Relationship Id="rId84" Type="http://schemas.openxmlformats.org/officeDocument/2006/relationships/hyperlink" Target="https://www.rijksoverheid.nl/documenten/beleidsnotas/2023/02/03/nationaal-programma-circulaire-economie-2023-2030" TargetMode="External"/><Relationship Id="rId89" Type="http://schemas.openxmlformats.org/officeDocument/2006/relationships/hyperlink" Target="https://www.plasticportal.eu/price-reports/2026/2" TargetMode="External"/><Relationship Id="rId112" Type="http://schemas.openxmlformats.org/officeDocument/2006/relationships/hyperlink" Target="https://comtradeplus.un.org/" TargetMode="External"/><Relationship Id="rId16" Type="http://schemas.openxmlformats.org/officeDocument/2006/relationships/hyperlink" Target="https://commission.europa.eu/business-economy-euro/doing-business-eu/sustainability-due-diligence-responsible-business/corporate-sustainability-due-diligence_en" TargetMode="External"/><Relationship Id="rId107" Type="http://schemas.openxmlformats.org/officeDocument/2006/relationships/hyperlink" Target="https://comtradeplus.un.org/" TargetMode="External"/><Relationship Id="rId11" Type="http://schemas.openxmlformats.org/officeDocument/2006/relationships/hyperlink" Target="https://www.circulaw.nl/eu-wetgeving/ecodesign-for-sustainable-products-regulation-(espr)?tab=relevantie-voor-de-circulaire-economie" TargetMode="External"/><Relationship Id="rId32" Type="http://schemas.openxmlformats.org/officeDocument/2006/relationships/hyperlink" Target="https://www.milieucentraal.nl/media/b01enjyy/factsheet-consumenteninzichten-zitmeubilair.pdf" TargetMode="External"/><Relationship Id="rId37" Type="http://schemas.openxmlformats.org/officeDocument/2006/relationships/hyperlink" Target="https://stat.unido.org/data/table" TargetMode="External"/><Relationship Id="rId53" Type="http://schemas.openxmlformats.org/officeDocument/2006/relationships/hyperlink" Target="https://digitalcommons.kennesaw.edu/amj/vol7/iss2/2/?utm_source=chatgpt.com" TargetMode="External"/><Relationship Id="rId58" Type="http://schemas.openxmlformats.org/officeDocument/2006/relationships/hyperlink" Target="https://ec.europa.eu/eurostat/databrowser/view/sts_inppd_m__custom_20127609/default/table" TargetMode="External"/><Relationship Id="rId74" Type="http://schemas.openxmlformats.org/officeDocument/2006/relationships/hyperlink" Target="https://c2ccertified.org/the-standard" TargetMode="External"/><Relationship Id="rId79" Type="http://schemas.openxmlformats.org/officeDocument/2006/relationships/hyperlink" Target="https://fred.stlouisfed.org/series/WPU091507" TargetMode="External"/><Relationship Id="rId102" Type="http://schemas.openxmlformats.org/officeDocument/2006/relationships/hyperlink" Target="https://comtradeplus.un.org/" TargetMode="External"/><Relationship Id="rId123" Type="http://schemas.openxmlformats.org/officeDocument/2006/relationships/hyperlink" Target="https://comtradeplus.un.org/" TargetMode="External"/><Relationship Id="rId128" Type="http://schemas.openxmlformats.org/officeDocument/2006/relationships/hyperlink" Target="https://www-genesis.destatis.de/datenbank/online/table/61231-0003" TargetMode="External"/><Relationship Id="rId5" Type="http://schemas.openxmlformats.org/officeDocument/2006/relationships/hyperlink" Target="https://www.stichting-open.org/samen/" TargetMode="External"/><Relationship Id="rId90" Type="http://schemas.openxmlformats.org/officeDocument/2006/relationships/hyperlink" Target="https://repository.tno.nl/SingleDoc?docId=55561" TargetMode="External"/><Relationship Id="rId95" Type="http://schemas.openxmlformats.org/officeDocument/2006/relationships/hyperlink" Target="https://www.grandviewresearch.com/industry-analysis/eco-friendly-furniture-market" TargetMode="External"/><Relationship Id="rId22" Type="http://schemas.openxmlformats.org/officeDocument/2006/relationships/hyperlink" Target="https://www.zuid-holland.nl/online-regelen/subsidies/subsidies/mit-haalbaarheidsprojecten/" TargetMode="External"/><Relationship Id="rId27" Type="http://schemas.openxmlformats.org/officeDocument/2006/relationships/hyperlink" Target="https://www.grandviewresearch.com/industry-analysis/eco-friendly-furniture-market" TargetMode="External"/><Relationship Id="rId43" Type="http://schemas.openxmlformats.org/officeDocument/2006/relationships/hyperlink" Target="https://worldsteel.org/data/annual-production-steel-data/?ind=P1_crude_steel_total_pub/CHN/IND" TargetMode="External"/><Relationship Id="rId48" Type="http://schemas.openxmlformats.org/officeDocument/2006/relationships/hyperlink" Target="https://www.fao.org/faostat/en/" TargetMode="External"/><Relationship Id="rId64" Type="http://schemas.openxmlformats.org/officeDocument/2006/relationships/hyperlink" Target="https://www.kiwa.com/nl/nl/expertisegebieden/duurzaamheid/circulair-ondernemen/wat-kunnen-organisaties-verwachten/" TargetMode="External"/><Relationship Id="rId69" Type="http://schemas.openxmlformats.org/officeDocument/2006/relationships/hyperlink" Target="https://www.artisanfurniture.net/nl/furniture-trends/certifications-for-sustainable-furniture/" TargetMode="External"/><Relationship Id="rId113" Type="http://schemas.openxmlformats.org/officeDocument/2006/relationships/hyperlink" Target="https://comtradeplus.un.org/" TargetMode="External"/><Relationship Id="rId118" Type="http://schemas.openxmlformats.org/officeDocument/2006/relationships/hyperlink" Target="https://comtradeplus.un.org/" TargetMode="External"/><Relationship Id="rId80" Type="http://schemas.openxmlformats.org/officeDocument/2006/relationships/hyperlink" Target="https://www.rivm.nl/maatschappelijk-verantwoord-opdrachtgeven-en-inkopen/trends-in-mvoi" TargetMode="External"/><Relationship Id="rId85" Type="http://schemas.openxmlformats.org/officeDocument/2006/relationships/hyperlink" Target="https://fred.stlouisfed.org/series/WPU10170674" TargetMode="External"/><Relationship Id="rId12" Type="http://schemas.openxmlformats.org/officeDocument/2006/relationships/hyperlink" Target="https://www.tno.nl/nl/digitaal/data-sharing/digitaal-product-paspoort/" TargetMode="External"/><Relationship Id="rId17" Type="http://schemas.openxmlformats.org/officeDocument/2006/relationships/hyperlink" Target="https://www.deloitte.com/nl/nl/issues/climate/csddd-corporate-sustainability-due-diligence-directive.html" TargetMode="External"/><Relationship Id="rId33" Type="http://schemas.openxmlformats.org/officeDocument/2006/relationships/hyperlink" Target="https://www.afvalcirculair.nl/publish/pages/237358/db-rijkswaterstaat-onderzoeksrapport-stimuleren-van-afzet-tweedehands-meubels.pdf" TargetMode="External"/><Relationship Id="rId38" Type="http://schemas.openxmlformats.org/officeDocument/2006/relationships/hyperlink" Target="https://worldpopulationreview.com/country-rankings/cotton-production-by-country" TargetMode="External"/><Relationship Id="rId59" Type="http://schemas.openxmlformats.org/officeDocument/2006/relationships/hyperlink" Target="https://ec.europa.eu/eurostat/databrowser/view/sts_inppd_m__custom_20127609/default/table" TargetMode="External"/><Relationship Id="rId103" Type="http://schemas.openxmlformats.org/officeDocument/2006/relationships/hyperlink" Target="https://comtradeplus.un.org/" TargetMode="External"/><Relationship Id="rId108" Type="http://schemas.openxmlformats.org/officeDocument/2006/relationships/hyperlink" Target="https://comtradeplus.un.org/" TargetMode="External"/><Relationship Id="rId124" Type="http://schemas.openxmlformats.org/officeDocument/2006/relationships/hyperlink" Target="https://comtradeplus.un.org/" TargetMode="External"/><Relationship Id="rId129" Type="http://schemas.openxmlformats.org/officeDocument/2006/relationships/vmlDrawing" Target="../drawings/vmlDrawing3.vml"/><Relationship Id="rId54" Type="http://schemas.openxmlformats.org/officeDocument/2006/relationships/hyperlink" Target="https://csr-tools.com/en/blog-en/esg-business-case-why-sustainability-pays-off-for-smes/" TargetMode="External"/><Relationship Id="rId70" Type="http://schemas.openxmlformats.org/officeDocument/2006/relationships/hyperlink" Target="https://www.sustanea.com/blogs/blog-1-duurzaamheidscertificaten-uitgelegd-welke-certificaten-zijn-er-in-de-interieurbranche-en" TargetMode="External"/><Relationship Id="rId75" Type="http://schemas.openxmlformats.org/officeDocument/2006/relationships/hyperlink" Target="https://fred.stlouisfed.org/series/WPU072205011" TargetMode="External"/><Relationship Id="rId91" Type="http://schemas.openxmlformats.org/officeDocument/2006/relationships/hyperlink" Target="https://www.worldfurnitureonline.com/news/the-highly-competitive-european-furniture-market/" TargetMode="External"/><Relationship Id="rId96" Type="http://schemas.openxmlformats.org/officeDocument/2006/relationships/hyperlink" Target="https://www.worldfurnitureonline.com/news/the-highly-competitive-european-furniture-market/" TargetMode="External"/><Relationship Id="rId1" Type="http://schemas.openxmlformats.org/officeDocument/2006/relationships/hyperlink" Target="https://fred.stlouisfed.org/series/PCU32615032615041" TargetMode="External"/><Relationship Id="rId6" Type="http://schemas.openxmlformats.org/officeDocument/2006/relationships/hyperlink" Target="https://www.rvo.nl/onderwerpen/csrd" TargetMode="External"/><Relationship Id="rId23" Type="http://schemas.openxmlformats.org/officeDocument/2006/relationships/hyperlink" Target="https://www.rvo.nl/subsidies-financiering/tse-industrie-studies" TargetMode="External"/><Relationship Id="rId28" Type="http://schemas.openxmlformats.org/officeDocument/2006/relationships/hyperlink" Target="https://market.us/report/eco-friendly-furniture-market/" TargetMode="External"/><Relationship Id="rId49" Type="http://schemas.openxmlformats.org/officeDocument/2006/relationships/hyperlink" Target="https://www.statista.com/statistics/858584/global-linear-low-density-polyethylene-production-distribution-by-region/" TargetMode="External"/><Relationship Id="rId114" Type="http://schemas.openxmlformats.org/officeDocument/2006/relationships/hyperlink" Target="https://comtradeplus.un.org/" TargetMode="External"/><Relationship Id="rId119" Type="http://schemas.openxmlformats.org/officeDocument/2006/relationships/hyperlink" Target="https://comtradeplus.un.org/" TargetMode="External"/><Relationship Id="rId44" Type="http://schemas.openxmlformats.org/officeDocument/2006/relationships/hyperlink" Target="https://worldstainless.org/wp-content/uploads/2024/07/ISSF_Stainless_Steel_in_Figures_2020_English_public_version.pdf" TargetMode="External"/><Relationship Id="rId60" Type="http://schemas.openxmlformats.org/officeDocument/2006/relationships/hyperlink" Target="https://ec.europa.eu/eurostat/databrowser/view/sts_inppd_m__custom_20127609/default/table" TargetMode="External"/><Relationship Id="rId65" Type="http://schemas.openxmlformats.org/officeDocument/2006/relationships/hyperlink" Target="https://www.sustanea.com/blogs/blog-1-duurzaamheidscertificaten-uitgelegd-welke-certificaten-zijn-er-in-de-interieurbranche-en" TargetMode="External"/><Relationship Id="rId81" Type="http://schemas.openxmlformats.org/officeDocument/2006/relationships/hyperlink" Target="https://www.mvicriteria.nl/nl/webtool" TargetMode="External"/><Relationship Id="rId86" Type="http://schemas.openxmlformats.org/officeDocument/2006/relationships/hyperlink" Target="https://www.plasticportal.eu/price-reports/2026/2" TargetMode="External"/><Relationship Id="rId130" Type="http://schemas.openxmlformats.org/officeDocument/2006/relationships/comments" Target="../comments3.xml"/><Relationship Id="rId13" Type="http://schemas.openxmlformats.org/officeDocument/2006/relationships/hyperlink" Target="https://benelux.bureauveritas.com/duurzaamheid/esg-ketenmanagement-verantwoord-inkopen/regelgeving-voor-ontbossingsvrije-producten" TargetMode="External"/><Relationship Id="rId18" Type="http://schemas.openxmlformats.org/officeDocument/2006/relationships/hyperlink" Target="https://www.dnb.nl/groene-economie/co2-beprijzing/" TargetMode="External"/><Relationship Id="rId39" Type="http://schemas.openxmlformats.org/officeDocument/2006/relationships/hyperlink" Target="https://stat.unido.org/data/table" TargetMode="External"/><Relationship Id="rId109" Type="http://schemas.openxmlformats.org/officeDocument/2006/relationships/hyperlink" Target="https://comtradeplus.un.org/" TargetMode="External"/><Relationship Id="rId34" Type="http://schemas.openxmlformats.org/officeDocument/2006/relationships/hyperlink" Target="https://worldpopulationreview.com/country-rankings/metals-by-country" TargetMode="External"/><Relationship Id="rId50" Type="http://schemas.openxmlformats.org/officeDocument/2006/relationships/hyperlink" Target="https://stat.unido.org/data/table" TargetMode="External"/><Relationship Id="rId55" Type="http://schemas.openxmlformats.org/officeDocument/2006/relationships/hyperlink" Target="https://csr-tools.com/en/blog-en/esg-business-case-why-sustainability-pays-off-for-smes/" TargetMode="External"/><Relationship Id="rId76" Type="http://schemas.openxmlformats.org/officeDocument/2006/relationships/hyperlink" Target="https://fred.stlouisfed.org/series/WPU072205011" TargetMode="External"/><Relationship Id="rId97" Type="http://schemas.openxmlformats.org/officeDocument/2006/relationships/hyperlink" Target="https://www.grandviewresearch.com/industry-analysis/eco-friendly-furniture-market" TargetMode="External"/><Relationship Id="rId104" Type="http://schemas.openxmlformats.org/officeDocument/2006/relationships/hyperlink" Target="https://comtradeplus.un.org/" TargetMode="External"/><Relationship Id="rId120" Type="http://schemas.openxmlformats.org/officeDocument/2006/relationships/hyperlink" Target="https://comtradeplus.un.org/" TargetMode="External"/><Relationship Id="rId125" Type="http://schemas.openxmlformats.org/officeDocument/2006/relationships/hyperlink" Target="https://ec.europa.eu/eurostat/databrowser/view/cei_srm040__custom_20243394/default/table" TargetMode="External"/><Relationship Id="rId7" Type="http://schemas.openxmlformats.org/officeDocument/2006/relationships/hyperlink" Target="https://afvalcirculair.nl/uitgebreide-producentenverantwoordelijkheid-upv/" TargetMode="External"/><Relationship Id="rId71" Type="http://schemas.openxmlformats.org/officeDocument/2006/relationships/hyperlink" Target="https://www.artisanfurniture.net/nl/furniture-trends/certifications-for-sustainable-furniture/" TargetMode="External"/><Relationship Id="rId92" Type="http://schemas.openxmlformats.org/officeDocument/2006/relationships/hyperlink" Target="https://www.statista.com/outlook/cmo/furniture/worldwide" TargetMode="External"/><Relationship Id="rId2" Type="http://schemas.openxmlformats.org/officeDocument/2006/relationships/hyperlink" Target="https://www.plasticportal.eu/price-reports" TargetMode="External"/><Relationship Id="rId29" Type="http://schemas.openxmlformats.org/officeDocument/2006/relationships/hyperlink" Target="https://www.grandviewresearch.com/industry-analysis/eco-friendly-furniture-market" TargetMode="External"/><Relationship Id="rId24" Type="http://schemas.openxmlformats.org/officeDocument/2006/relationships/hyperlink" Target="https://www.topsectorenergie.nl/" TargetMode="External"/><Relationship Id="rId40" Type="http://schemas.openxmlformats.org/officeDocument/2006/relationships/hyperlink" Target="https://plasticseurope.org/wp-content/uploads/2025/09/PE_TheFacts_25_digital-1pager-scrollable.pdf" TargetMode="External"/><Relationship Id="rId45" Type="http://schemas.openxmlformats.org/officeDocument/2006/relationships/hyperlink" Target="https://international-aluminium.org/statistics/primary-aluminium-production/?publication=primary-aluminium-production&amp;filter=%7B%22row%22%3A85%2C%22group%22%3Anull%2C%22multiGroup%22%3A%5B%5D%2C%22dateRange%22%3A%22monthly%22%2C%22monthFrom%22%3A12%2C%22monthTo%22%3A12%2C%22quarterFrom%22%3A1%2C%22quarterTo%22%3A4%2C%22yearFrom%22%3A2025%2C%22yearTo%22%3A2025%2C%22multiRow%22%3A%5B85%5D%2C%22columns%22%3A%5B1%2C2%2C3%2C4%2C5%2C6%2C106%2C7%2C8%2C9%2C10%5D%2C%22activeChartIndex%22%3A0%2C%22activeChartType%22%3A%22map%22%7D" TargetMode="External"/><Relationship Id="rId66" Type="http://schemas.openxmlformats.org/officeDocument/2006/relationships/hyperlink" Target="https://www.co2-prestatieladder.nl/wat-is-de-co2-prestatieladder/" TargetMode="External"/><Relationship Id="rId87" Type="http://schemas.openxmlformats.org/officeDocument/2006/relationships/hyperlink" Target="https://www.plasticportal.eu/price-reports/2026/2" TargetMode="External"/><Relationship Id="rId110" Type="http://schemas.openxmlformats.org/officeDocument/2006/relationships/hyperlink" Target="https://comtradeplus.un.org/" TargetMode="External"/><Relationship Id="rId115" Type="http://schemas.openxmlformats.org/officeDocument/2006/relationships/hyperlink" Target="https://comtradeplus.un.org/" TargetMode="External"/><Relationship Id="rId61" Type="http://schemas.openxmlformats.org/officeDocument/2006/relationships/hyperlink" Target="https://fred.stlouisfed.org/series/WPU034201" TargetMode="External"/><Relationship Id="rId82" Type="http://schemas.openxmlformats.org/officeDocument/2006/relationships/hyperlink" Target="https://zoek.officielebekendmakingen.nl/kst-32852-33.html" TargetMode="External"/><Relationship Id="rId19" Type="http://schemas.openxmlformats.org/officeDocument/2006/relationships/hyperlink" Target="https://taxation-customs.ec.europa.eu/carbon-border-adjustment-mechanism_en" TargetMode="External"/><Relationship Id="rId14" Type="http://schemas.openxmlformats.org/officeDocument/2006/relationships/hyperlink" Target="https://benelux.bureauveritas.com/duurzaamheid/esg-ketenmanagement-verantwoord-inkopen/regelgeving-voor-ontbossingsvrije-producten" TargetMode="External"/><Relationship Id="rId30" Type="http://schemas.openxmlformats.org/officeDocument/2006/relationships/hyperlink" Target="https://market.us/report/eco-friendly-furniture-market/" TargetMode="External"/><Relationship Id="rId35" Type="http://schemas.openxmlformats.org/officeDocument/2006/relationships/hyperlink" Target="https://worldstainless.org/media/press-releases/worldstainless-releases-stainless-steel-melt-shop-production-for-q1-2025" TargetMode="External"/><Relationship Id="rId56" Type="http://schemas.openxmlformats.org/officeDocument/2006/relationships/hyperlink" Target="https://ec.europa.eu/eurostat/databrowser/view/sts_inppd_m__custom_20127609/default/table" TargetMode="External"/><Relationship Id="rId77" Type="http://schemas.openxmlformats.org/officeDocument/2006/relationships/hyperlink" Target="https://ec.europa.eu/eurostat/databrowser/view/sts_inppd_m__custom_20127609/default/table" TargetMode="External"/><Relationship Id="rId100" Type="http://schemas.openxmlformats.org/officeDocument/2006/relationships/hyperlink" Target="https://comtradeplus.un.org/" TargetMode="External"/><Relationship Id="rId105" Type="http://schemas.openxmlformats.org/officeDocument/2006/relationships/hyperlink" Target="https://comtradeplus.un.org/" TargetMode="External"/><Relationship Id="rId126" Type="http://schemas.openxmlformats.org/officeDocument/2006/relationships/hyperlink" Target="https://fred.stlouisfed.org/series/PCU4299304299301" TargetMode="External"/><Relationship Id="rId8" Type="http://schemas.openxmlformats.org/officeDocument/2006/relationships/hyperlink" Target="https://ieep.eu/wp-content/uploads/2025/04/External-impacts-of-new-EU-sustainable-product-standards-IEEP-2025.pdf" TargetMode="External"/><Relationship Id="rId51" Type="http://schemas.openxmlformats.org/officeDocument/2006/relationships/hyperlink" Target="https://www.deloitte.com/content/dam/assets-shared/docs/campaigns/2025/2025-genz-millennial-survey.pdf" TargetMode="External"/><Relationship Id="rId72" Type="http://schemas.openxmlformats.org/officeDocument/2006/relationships/hyperlink" Target="https://www.sustanea.com/blogs/blog-1-duurzaamheidscertificaten-uitgelegd-welke-certificaten-zijn-er-in-de-interieurbranche-en" TargetMode="External"/><Relationship Id="rId93" Type="http://schemas.openxmlformats.org/officeDocument/2006/relationships/hyperlink" Target="https://www.worldfurnitureonline.com/news/the-highly-competitive-european-furniture-market/" TargetMode="External"/><Relationship Id="rId98" Type="http://schemas.openxmlformats.org/officeDocument/2006/relationships/hyperlink" Target="https://www.grandviewresearch.com/industry-analysis/eco-friendly-furniture-market" TargetMode="External"/><Relationship Id="rId121" Type="http://schemas.openxmlformats.org/officeDocument/2006/relationships/hyperlink" Target="https://comtradeplus.un.org/" TargetMode="External"/><Relationship Id="rId3" Type="http://schemas.openxmlformats.org/officeDocument/2006/relationships/hyperlink" Target="https://www.stichtingupvtextiel.nl/wat-wij-doen/" TargetMode="External"/><Relationship Id="rId25" Type="http://schemas.openxmlformats.org/officeDocument/2006/relationships/hyperlink" Target="https://www.rvo.nl/subsidies-financiering/mit-rd-samenwerkingsprojecten" TargetMode="External"/><Relationship Id="rId46" Type="http://schemas.openxmlformats.org/officeDocument/2006/relationships/hyperlink" Target="https://icac.shinyapps.io/ICAC_Open_Data_Dashboaard/" TargetMode="External"/><Relationship Id="rId67" Type="http://schemas.openxmlformats.org/officeDocument/2006/relationships/hyperlink" Target="https://www.bouwprofi.nl/klusadvies/verschil-fsc-en-pefc" TargetMode="External"/><Relationship Id="rId116" Type="http://schemas.openxmlformats.org/officeDocument/2006/relationships/hyperlink" Target="https://comtradeplus.un.org/" TargetMode="External"/><Relationship Id="rId20" Type="http://schemas.openxmlformats.org/officeDocument/2006/relationships/hyperlink" Target="https://www.douane.nl/onderwerpen/vgem/milieu/cbam/" TargetMode="External"/><Relationship Id="rId41" Type="http://schemas.openxmlformats.org/officeDocument/2006/relationships/hyperlink" Target="https://www.polyglobe.net/_g/pdf/polyglobe/ePaper/Poster_2021/" TargetMode="External"/><Relationship Id="rId62" Type="http://schemas.openxmlformats.org/officeDocument/2006/relationships/hyperlink" Target="https://fred.stlouisfed.org/series/PWOOLCUSDM/" TargetMode="External"/><Relationship Id="rId83" Type="http://schemas.openxmlformats.org/officeDocument/2006/relationships/hyperlink" Target="https://www.rijksoverheid.nl/documenten/beleidsnotas/2023/02/03/nationaal-programma-circulaire-economie-2023-2030" TargetMode="External"/><Relationship Id="rId88" Type="http://schemas.openxmlformats.org/officeDocument/2006/relationships/hyperlink" Target="https://fred.stlouisfed.org/series/WPU07260305" TargetMode="External"/><Relationship Id="rId111" Type="http://schemas.openxmlformats.org/officeDocument/2006/relationships/hyperlink" Target="https://comtradeplus.un.org/" TargetMode="External"/><Relationship Id="rId15" Type="http://schemas.openxmlformats.org/officeDocument/2006/relationships/hyperlink" Target="https://finance.ec.europa.eu/sustainable-finance/tools-and-standards/eu-taxonomy-sustainable-activities_en" TargetMode="External"/><Relationship Id="rId36" Type="http://schemas.openxmlformats.org/officeDocument/2006/relationships/hyperlink" Target="https://ourworldindata.org/metals-minerals" TargetMode="External"/><Relationship Id="rId57" Type="http://schemas.openxmlformats.org/officeDocument/2006/relationships/hyperlink" Target="https://ec.europa.eu/eurostat/databrowser/view/sts_inppd_m__custom_20127609/default/table" TargetMode="External"/><Relationship Id="rId106" Type="http://schemas.openxmlformats.org/officeDocument/2006/relationships/hyperlink" Target="https://comtradeplus.un.org/" TargetMode="External"/><Relationship Id="rId127" Type="http://schemas.openxmlformats.org/officeDocument/2006/relationships/hyperlink" Target="https://fred.stlouisfed.org/series/PCU4299304299302" TargetMode="External"/><Relationship Id="rId10" Type="http://schemas.openxmlformats.org/officeDocument/2006/relationships/hyperlink" Target="https://www.kvk.nl/duurzaamheid/verplichte-duurzaamheidsrapportage-dit-betekent-het/" TargetMode="External"/><Relationship Id="rId31" Type="http://schemas.openxmlformats.org/officeDocument/2006/relationships/hyperlink" Target="https://www.statista.com/outlook/cmo/furniture/worldwide" TargetMode="External"/><Relationship Id="rId52" Type="http://schemas.openxmlformats.org/officeDocument/2006/relationships/hyperlink" Target="https://usca.bcorporation.net/zblvz-5-key-takeaways-about-b-corp-brand-awareness-2023/?utm_source=chatgpt.com" TargetMode="External"/><Relationship Id="rId73" Type="http://schemas.openxmlformats.org/officeDocument/2006/relationships/hyperlink" Target="https://natureplus-institute.eu/?page_id=36&amp;lang=en" TargetMode="External"/><Relationship Id="rId78" Type="http://schemas.openxmlformats.org/officeDocument/2006/relationships/hyperlink" Target="https://fred.stlouisfed.org/series/PCU32612232612213" TargetMode="External"/><Relationship Id="rId94" Type="http://schemas.openxmlformats.org/officeDocument/2006/relationships/hyperlink" Target="https://www.grandviewresearch.com/industry-analysis/eco-friendly-furniture-market" TargetMode="External"/><Relationship Id="rId99" Type="http://schemas.openxmlformats.org/officeDocument/2006/relationships/hyperlink" Target="https://comtradeplus.un.org/" TargetMode="External"/><Relationship Id="rId101" Type="http://schemas.openxmlformats.org/officeDocument/2006/relationships/hyperlink" Target="https://comtradeplus.un.org/" TargetMode="External"/><Relationship Id="rId122" Type="http://schemas.openxmlformats.org/officeDocument/2006/relationships/hyperlink" Target="https://comtradeplus.un.org/" TargetMode="External"/><Relationship Id="rId4" Type="http://schemas.openxmlformats.org/officeDocument/2006/relationships/hyperlink" Target="https://www.verpact.nl/nl/wij-zijn-verpact" TargetMode="External"/><Relationship Id="rId9" Type="http://schemas.openxmlformats.org/officeDocument/2006/relationships/hyperlink" Target="https://www.circulaw.nl/eu-wetgeving/ecodesign-for-sustainable-products-regulation-(espr)" TargetMode="External"/><Relationship Id="rId26" Type="http://schemas.openxmlformats.org/officeDocument/2006/relationships/hyperlink" Target="https://www.rvo.nl/subsidies-financiering/dei/circulaire-economi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fred.stlouisfed.org/series/WPU072205011" TargetMode="External"/><Relationship Id="rId13" Type="http://schemas.openxmlformats.org/officeDocument/2006/relationships/hyperlink" Target="https://worldstainless.org/media/press-releases/worldstainless-releases-stainless-steel-melt-shop-production-for-q1-2025" TargetMode="External"/><Relationship Id="rId18" Type="http://schemas.openxmlformats.org/officeDocument/2006/relationships/hyperlink" Target="https://worldpopulationreview.com/country-rankings/textile-exports-by-country" TargetMode="External"/><Relationship Id="rId26" Type="http://schemas.openxmlformats.org/officeDocument/2006/relationships/hyperlink" Target="https://comtradeplus.un.org/TradeFlow" TargetMode="External"/><Relationship Id="rId3" Type="http://schemas.openxmlformats.org/officeDocument/2006/relationships/hyperlink" Target="https://apps.fas.usda.gov/psdonline/app/index.html" TargetMode="External"/><Relationship Id="rId21" Type="http://schemas.openxmlformats.org/officeDocument/2006/relationships/hyperlink" Target="https://www.fao.org/faostat/en/" TargetMode="External"/><Relationship Id="rId7" Type="http://schemas.openxmlformats.org/officeDocument/2006/relationships/hyperlink" Target="https://fred.stlouisfed.org/series/PCU3132303132301" TargetMode="External"/><Relationship Id="rId12" Type="http://schemas.openxmlformats.org/officeDocument/2006/relationships/hyperlink" Target="https://worldsteel.org/data/annual-production-steel-data/?ind=P1_crude_steel_total_pub/CHN/IND(2020-2024)" TargetMode="External"/><Relationship Id="rId17" Type="http://schemas.openxmlformats.org/officeDocument/2006/relationships/hyperlink" Target="https://comtradeplus.un.org/TradeFlow" TargetMode="External"/><Relationship Id="rId25" Type="http://schemas.openxmlformats.org/officeDocument/2006/relationships/hyperlink" Target="https://www.polyglobe.net/_g/pdf/polyglobe/ePaper/Poster_2021/" TargetMode="External"/><Relationship Id="rId2" Type="http://schemas.openxmlformats.org/officeDocument/2006/relationships/hyperlink" Target="https://www.plasticportal.eu/price-reports" TargetMode="External"/><Relationship Id="rId16" Type="http://schemas.openxmlformats.org/officeDocument/2006/relationships/hyperlink" Target="https://www.reportlinker.com/dataset/e78005252282d913fc57561f9dfba07df4bfd1c6?%20https://www.nationmaster.com/nmx/ranking/production-of-polyurethanes-in-primary-forms%20%7C%20https://www.nationmaster.com/nmx/ranking/production-of-isocyanates" TargetMode="External"/><Relationship Id="rId20" Type="http://schemas.openxmlformats.org/officeDocument/2006/relationships/hyperlink" Target="https://icac.shinyapps.io/ICAC_Open_Data_Dashboaard/" TargetMode="External"/><Relationship Id="rId1" Type="http://schemas.openxmlformats.org/officeDocument/2006/relationships/hyperlink" Target="https://fred.stlouisfed.org/series/PCU32615032615041" TargetMode="External"/><Relationship Id="rId6" Type="http://schemas.openxmlformats.org/officeDocument/2006/relationships/hyperlink" Target="https://stat.unido.org/data/table" TargetMode="External"/><Relationship Id="rId11" Type="http://schemas.openxmlformats.org/officeDocument/2006/relationships/hyperlink" Target="https://fred.stlouisfed.org/series/WPU09150731" TargetMode="External"/><Relationship Id="rId24" Type="http://schemas.openxmlformats.org/officeDocument/2006/relationships/hyperlink" Target="https://comtradeplus.un.org/TradeFlow" TargetMode="External"/><Relationship Id="rId5" Type="http://schemas.openxmlformats.org/officeDocument/2006/relationships/hyperlink" Target="https://fred.stlouisfed.org/series/PCU32615032615041" TargetMode="External"/><Relationship Id="rId15" Type="http://schemas.openxmlformats.org/officeDocument/2006/relationships/hyperlink" Target="https://comtradeplus.un.org/TradeFlow" TargetMode="External"/><Relationship Id="rId23" Type="http://schemas.openxmlformats.org/officeDocument/2006/relationships/hyperlink" Target="https://comtradeplus.un.org/TradeFlow" TargetMode="External"/><Relationship Id="rId10" Type="http://schemas.openxmlformats.org/officeDocument/2006/relationships/hyperlink" Target="https://fred.stlouisfed.org/series/WPU072106033" TargetMode="External"/><Relationship Id="rId19" Type="http://schemas.openxmlformats.org/officeDocument/2006/relationships/hyperlink" Target="https://worldpopulationreview.com/country-rankings/cotton-production-by-country" TargetMode="External"/><Relationship Id="rId4" Type="http://schemas.openxmlformats.org/officeDocument/2006/relationships/hyperlink" Target="https://www.worldatlas.com/articles/the-world-s-top-wool-producing-countries.html" TargetMode="External"/><Relationship Id="rId9" Type="http://schemas.openxmlformats.org/officeDocument/2006/relationships/hyperlink" Target="https://fred.stlouisfed.org/series/PCU325211325211" TargetMode="External"/><Relationship Id="rId14" Type="http://schemas.openxmlformats.org/officeDocument/2006/relationships/hyperlink" Target="https://ourworldindata.org/metals-minerals" TargetMode="External"/><Relationship Id="rId22" Type="http://schemas.openxmlformats.org/officeDocument/2006/relationships/hyperlink" Target="https://plasticseurope.org/wp-content/uploads/2025/09/PE_TheFacts_25_digital-1pager-scrollable.pdf" TargetMode="External"/><Relationship Id="rId27" Type="http://schemas.openxmlformats.org/officeDocument/2006/relationships/hyperlink" Target="https://fred.stlouisfed.org/series/WPU0726030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9"/>
  <sheetViews>
    <sheetView workbookViewId="0">
      <pane xSplit="1" topLeftCell="B1" activePane="topRight" state="frozen"/>
      <selection pane="topRight" activeCell="C19" sqref="C19"/>
    </sheetView>
  </sheetViews>
  <sheetFormatPr defaultColWidth="12.5546875" defaultRowHeight="15.75" customHeight="1"/>
  <cols>
    <col min="1" max="1" width="44.44140625" style="1" customWidth="1"/>
    <col min="2" max="5" width="16.77734375" style="1" customWidth="1"/>
    <col min="6" max="16" width="12.5546875" style="1"/>
  </cols>
  <sheetData>
    <row r="1" spans="1:9" ht="15.75" customHeight="1">
      <c r="B1" s="1" t="s">
        <v>0</v>
      </c>
      <c r="C1" s="1" t="s">
        <v>1</v>
      </c>
      <c r="D1" s="1" t="s">
        <v>2</v>
      </c>
      <c r="E1" s="1" t="s">
        <v>3</v>
      </c>
      <c r="F1" s="1" t="s">
        <v>4</v>
      </c>
      <c r="G1" s="1" t="s">
        <v>5</v>
      </c>
      <c r="H1" s="1" t="s">
        <v>6</v>
      </c>
      <c r="I1" s="1" t="s">
        <v>7</v>
      </c>
    </row>
    <row r="2" spans="1:9" ht="15.75" customHeight="1">
      <c r="B2" s="1" t="s">
        <v>8</v>
      </c>
      <c r="C2" s="1" t="s">
        <v>9</v>
      </c>
      <c r="D2" s="1" t="s">
        <v>10</v>
      </c>
      <c r="E2" s="1" t="s">
        <v>11</v>
      </c>
      <c r="F2" s="1" t="s">
        <v>12</v>
      </c>
      <c r="G2" s="1" t="s">
        <v>13</v>
      </c>
      <c r="H2" s="1" t="s">
        <v>14</v>
      </c>
      <c r="I2" s="1" t="s">
        <v>15</v>
      </c>
    </row>
    <row r="3" spans="1:9" ht="15.75" customHeight="1">
      <c r="A3" s="1" t="s">
        <v>16</v>
      </c>
      <c r="B3" s="2" t="s">
        <v>17</v>
      </c>
      <c r="C3" s="3" t="s">
        <v>17</v>
      </c>
      <c r="D3" s="4" t="s">
        <v>18</v>
      </c>
      <c r="E3" s="3" t="s">
        <v>17</v>
      </c>
      <c r="F3" s="3" t="s">
        <v>17</v>
      </c>
      <c r="G3" s="3" t="s">
        <v>17</v>
      </c>
      <c r="H3" s="3" t="s">
        <v>19</v>
      </c>
      <c r="I3" s="4" t="s">
        <v>20</v>
      </c>
    </row>
    <row r="4" spans="1:9" ht="15.75" customHeight="1">
      <c r="A4" s="1" t="s">
        <v>21</v>
      </c>
      <c r="B4" s="5" t="s">
        <v>17</v>
      </c>
      <c r="C4" s="6" t="s">
        <v>22</v>
      </c>
      <c r="D4" s="7" t="s">
        <v>23</v>
      </c>
      <c r="E4" s="8" t="s">
        <v>17</v>
      </c>
      <c r="F4" s="8" t="s">
        <v>17</v>
      </c>
      <c r="G4" s="6" t="s">
        <v>24</v>
      </c>
      <c r="H4" s="8" t="s">
        <v>17</v>
      </c>
      <c r="I4" s="7" t="s">
        <v>23</v>
      </c>
    </row>
    <row r="5" spans="1:9" ht="15.75" customHeight="1">
      <c r="A5" s="1" t="s">
        <v>25</v>
      </c>
      <c r="B5" s="9" t="s">
        <v>26</v>
      </c>
      <c r="C5" s="9" t="s">
        <v>26</v>
      </c>
      <c r="D5" s="9" t="s">
        <v>26</v>
      </c>
      <c r="E5" s="9" t="s">
        <v>26</v>
      </c>
      <c r="F5" s="9" t="s">
        <v>27</v>
      </c>
      <c r="G5" s="9" t="s">
        <v>26</v>
      </c>
      <c r="H5" s="9" t="s">
        <v>28</v>
      </c>
      <c r="I5" s="9" t="s">
        <v>29</v>
      </c>
    </row>
    <row r="6" spans="1:9" ht="15.75" customHeight="1">
      <c r="A6" s="1" t="s">
        <v>30</v>
      </c>
      <c r="B6" s="5" t="s">
        <v>17</v>
      </c>
      <c r="C6" s="8" t="s">
        <v>17</v>
      </c>
      <c r="D6" s="7" t="s">
        <v>23</v>
      </c>
      <c r="E6" s="8" t="s">
        <v>17</v>
      </c>
      <c r="F6" s="8" t="s">
        <v>17</v>
      </c>
      <c r="G6" s="8" t="s">
        <v>17</v>
      </c>
      <c r="H6" s="6" t="s">
        <v>31</v>
      </c>
      <c r="I6" s="7" t="s">
        <v>23</v>
      </c>
    </row>
    <row r="7" spans="1:9" ht="15.75" customHeight="1">
      <c r="A7" s="1" t="s">
        <v>32</v>
      </c>
      <c r="B7" s="10" t="s">
        <v>33</v>
      </c>
      <c r="C7" s="7" t="s">
        <v>18</v>
      </c>
      <c r="D7" s="7" t="s">
        <v>23</v>
      </c>
      <c r="E7" s="11" t="s">
        <v>34</v>
      </c>
      <c r="F7" s="8" t="s">
        <v>17</v>
      </c>
      <c r="G7" s="6" t="s">
        <v>35</v>
      </c>
      <c r="H7" s="8" t="s">
        <v>17</v>
      </c>
      <c r="I7" s="7" t="s">
        <v>23</v>
      </c>
    </row>
    <row r="8" spans="1:9" ht="15.75" customHeight="1">
      <c r="A8" s="1" t="s">
        <v>36</v>
      </c>
      <c r="B8" s="5" t="s">
        <v>17</v>
      </c>
      <c r="C8" s="7" t="s">
        <v>23</v>
      </c>
      <c r="D8" s="7" t="s">
        <v>23</v>
      </c>
      <c r="E8" s="6" t="s">
        <v>37</v>
      </c>
      <c r="F8" s="6" t="s">
        <v>38</v>
      </c>
      <c r="G8" s="7" t="s">
        <v>23</v>
      </c>
      <c r="H8" s="7" t="s">
        <v>23</v>
      </c>
      <c r="I8" s="7" t="s">
        <v>18</v>
      </c>
    </row>
    <row r="9" spans="1:9" ht="15.75" customHeight="1">
      <c r="A9" s="1" t="s">
        <v>39</v>
      </c>
      <c r="B9" s="12" t="s">
        <v>17</v>
      </c>
      <c r="C9" s="13" t="s">
        <v>17</v>
      </c>
      <c r="D9" s="13" t="s">
        <v>17</v>
      </c>
      <c r="E9" s="13" t="s">
        <v>40</v>
      </c>
      <c r="F9" s="14" t="s">
        <v>23</v>
      </c>
      <c r="G9" s="13" t="s">
        <v>17</v>
      </c>
      <c r="H9" s="13" t="s">
        <v>17</v>
      </c>
      <c r="I9" s="14" t="s">
        <v>18</v>
      </c>
    </row>
  </sheetData>
  <pageMargins left="0" right="0" top="0" bottom="0" header="0" footer="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9"/>
  <sheetViews>
    <sheetView workbookViewId="0">
      <pane xSplit="1" topLeftCell="B1" activePane="topRight" state="frozen"/>
      <selection pane="topRight" activeCell="C2" sqref="C2"/>
    </sheetView>
  </sheetViews>
  <sheetFormatPr defaultColWidth="12.5546875" defaultRowHeight="15.75" customHeight="1"/>
  <cols>
    <col min="1" max="1" width="25.21875" customWidth="1"/>
    <col min="2" max="4" width="16.77734375" customWidth="1"/>
    <col min="5" max="5" width="25.77734375" customWidth="1"/>
    <col min="6" max="6" width="16.77734375" customWidth="1"/>
    <col min="7" max="7" width="24.77734375" customWidth="1"/>
    <col min="8" max="8" width="16.77734375" customWidth="1"/>
    <col min="9" max="9" width="26.21875" customWidth="1"/>
    <col min="10" max="10" width="16.77734375" customWidth="1"/>
    <col min="11" max="11" width="26.21875" customWidth="1"/>
    <col min="12" max="12" width="16.77734375" customWidth="1"/>
    <col min="13" max="13" width="26.21875" customWidth="1"/>
    <col min="14" max="14" width="16.77734375" customWidth="1"/>
    <col min="15" max="15" width="26.21875" customWidth="1"/>
    <col min="16" max="16" width="16.77734375" customWidth="1"/>
    <col min="17" max="17" width="42.77734375" customWidth="1"/>
  </cols>
  <sheetData>
    <row r="1" spans="1:17" ht="15.75" customHeight="1">
      <c r="A1" s="1"/>
      <c r="B1" s="1" t="s">
        <v>0</v>
      </c>
      <c r="C1" s="1" t="s">
        <v>41</v>
      </c>
      <c r="D1" s="1" t="s">
        <v>1</v>
      </c>
      <c r="E1" s="1"/>
      <c r="F1" s="1" t="s">
        <v>2</v>
      </c>
      <c r="G1" s="1"/>
      <c r="H1" s="1" t="s">
        <v>3</v>
      </c>
      <c r="I1" s="1"/>
      <c r="J1" s="1" t="s">
        <v>4</v>
      </c>
      <c r="K1" s="1" t="s">
        <v>41</v>
      </c>
      <c r="L1" s="1" t="s">
        <v>5</v>
      </c>
      <c r="M1" s="1" t="s">
        <v>41</v>
      </c>
      <c r="N1" s="1" t="s">
        <v>6</v>
      </c>
      <c r="O1" s="1" t="s">
        <v>41</v>
      </c>
      <c r="P1" s="1" t="s">
        <v>7</v>
      </c>
      <c r="Q1" s="1" t="s">
        <v>41</v>
      </c>
    </row>
    <row r="2" spans="1:17" ht="15.75" customHeight="1">
      <c r="A2" s="1"/>
      <c r="B2" s="1" t="s">
        <v>8</v>
      </c>
      <c r="C2" s="1"/>
      <c r="D2" s="1" t="s">
        <v>9</v>
      </c>
      <c r="E2" s="1"/>
      <c r="F2" s="1" t="s">
        <v>10</v>
      </c>
      <c r="G2" s="1"/>
      <c r="H2" s="1" t="s">
        <v>11</v>
      </c>
      <c r="I2" s="1"/>
      <c r="J2" s="1" t="s">
        <v>12</v>
      </c>
      <c r="K2" s="1"/>
      <c r="L2" s="1" t="s">
        <v>13</v>
      </c>
      <c r="M2" s="1"/>
      <c r="N2" s="1" t="s">
        <v>14</v>
      </c>
      <c r="O2" s="1"/>
      <c r="P2" s="1" t="s">
        <v>15</v>
      </c>
      <c r="Q2" s="1"/>
    </row>
    <row r="3" spans="1:17" ht="15.75" customHeight="1">
      <c r="A3" s="1" t="s">
        <v>16</v>
      </c>
      <c r="B3" s="2" t="s">
        <v>17</v>
      </c>
      <c r="C3" s="3"/>
      <c r="D3" s="3" t="s">
        <v>17</v>
      </c>
      <c r="E3" s="3"/>
      <c r="F3" s="4" t="s">
        <v>18</v>
      </c>
      <c r="G3" s="4" t="s">
        <v>42</v>
      </c>
      <c r="H3" s="3" t="s">
        <v>17</v>
      </c>
      <c r="I3" s="3"/>
      <c r="J3" s="3" t="s">
        <v>17</v>
      </c>
      <c r="K3" s="3"/>
      <c r="L3" s="3" t="s">
        <v>17</v>
      </c>
      <c r="M3" s="3" t="s">
        <v>43</v>
      </c>
      <c r="N3" s="15" t="s">
        <v>19</v>
      </c>
      <c r="O3" s="15"/>
      <c r="P3" s="4" t="s">
        <v>20</v>
      </c>
      <c r="Q3" s="16" t="s">
        <v>44</v>
      </c>
    </row>
    <row r="4" spans="1:17" ht="15.75" customHeight="1">
      <c r="A4" s="1" t="s">
        <v>21</v>
      </c>
      <c r="B4" s="5" t="s">
        <v>17</v>
      </c>
      <c r="C4" s="8" t="s">
        <v>45</v>
      </c>
      <c r="D4" s="6" t="s">
        <v>22</v>
      </c>
      <c r="E4" s="6" t="s">
        <v>46</v>
      </c>
      <c r="F4" s="7" t="s">
        <v>23</v>
      </c>
      <c r="G4" s="7" t="s">
        <v>47</v>
      </c>
      <c r="H4" s="8" t="s">
        <v>17</v>
      </c>
      <c r="I4" s="8"/>
      <c r="J4" s="8" t="s">
        <v>17</v>
      </c>
      <c r="K4" s="8"/>
      <c r="L4" s="6" t="s">
        <v>24</v>
      </c>
      <c r="M4" s="6"/>
      <c r="N4" s="8" t="s">
        <v>17</v>
      </c>
      <c r="O4" s="8"/>
      <c r="P4" s="7" t="s">
        <v>23</v>
      </c>
      <c r="Q4" s="17" t="s">
        <v>48</v>
      </c>
    </row>
    <row r="5" spans="1:17" ht="15.75" customHeight="1">
      <c r="A5" s="1" t="s">
        <v>25</v>
      </c>
      <c r="B5" s="9" t="s">
        <v>26</v>
      </c>
      <c r="C5" s="9"/>
      <c r="D5" s="9" t="s">
        <v>26</v>
      </c>
      <c r="E5" s="9" t="s">
        <v>49</v>
      </c>
      <c r="F5" s="9" t="s">
        <v>26</v>
      </c>
      <c r="G5" s="9"/>
      <c r="H5" s="9" t="s">
        <v>26</v>
      </c>
      <c r="I5" s="9"/>
      <c r="J5" s="9" t="s">
        <v>27</v>
      </c>
      <c r="K5" s="9" t="s">
        <v>50</v>
      </c>
      <c r="L5" s="9" t="s">
        <v>26</v>
      </c>
      <c r="M5" s="9" t="s">
        <v>51</v>
      </c>
      <c r="N5" s="9" t="s">
        <v>28</v>
      </c>
      <c r="O5" s="9"/>
      <c r="P5" s="9" t="s">
        <v>29</v>
      </c>
      <c r="Q5" s="18"/>
    </row>
    <row r="6" spans="1:17" ht="15.75" customHeight="1">
      <c r="A6" s="1" t="s">
        <v>30</v>
      </c>
      <c r="B6" s="5" t="s">
        <v>17</v>
      </c>
      <c r="C6" s="8" t="s">
        <v>52</v>
      </c>
      <c r="D6" s="8" t="s">
        <v>17</v>
      </c>
      <c r="E6" s="8" t="s">
        <v>53</v>
      </c>
      <c r="F6" s="7" t="s">
        <v>23</v>
      </c>
      <c r="G6" s="7"/>
      <c r="H6" s="8" t="s">
        <v>17</v>
      </c>
      <c r="I6" s="8"/>
      <c r="J6" s="8" t="s">
        <v>17</v>
      </c>
      <c r="K6" s="8"/>
      <c r="L6" s="8" t="s">
        <v>17</v>
      </c>
      <c r="M6" s="7" t="s">
        <v>54</v>
      </c>
      <c r="N6" s="6" t="s">
        <v>31</v>
      </c>
      <c r="O6" s="6" t="s">
        <v>55</v>
      </c>
      <c r="P6" s="7" t="s">
        <v>23</v>
      </c>
      <c r="Q6" s="17"/>
    </row>
    <row r="7" spans="1:17" ht="15.75" customHeight="1">
      <c r="A7" s="1" t="s">
        <v>32</v>
      </c>
      <c r="B7" s="10" t="s">
        <v>33</v>
      </c>
      <c r="C7" s="7" t="s">
        <v>56</v>
      </c>
      <c r="D7" s="7" t="s">
        <v>18</v>
      </c>
      <c r="E7" s="7"/>
      <c r="F7" s="7" t="s">
        <v>23</v>
      </c>
      <c r="G7" s="7"/>
      <c r="H7" s="11" t="s">
        <v>34</v>
      </c>
      <c r="I7" s="11"/>
      <c r="J7" s="8" t="s">
        <v>17</v>
      </c>
      <c r="K7" s="8" t="s">
        <v>57</v>
      </c>
      <c r="L7" s="6" t="s">
        <v>35</v>
      </c>
      <c r="M7" s="6" t="s">
        <v>58</v>
      </c>
      <c r="N7" s="8" t="s">
        <v>17</v>
      </c>
      <c r="O7" s="8"/>
      <c r="P7" s="7" t="s">
        <v>23</v>
      </c>
      <c r="Q7" s="17"/>
    </row>
    <row r="8" spans="1:17" ht="15.75" customHeight="1">
      <c r="A8" s="1" t="s">
        <v>36</v>
      </c>
      <c r="B8" s="5" t="s">
        <v>17</v>
      </c>
      <c r="C8" s="8"/>
      <c r="D8" s="7" t="s">
        <v>23</v>
      </c>
      <c r="E8" s="7"/>
      <c r="F8" s="7" t="s">
        <v>23</v>
      </c>
      <c r="G8" s="7"/>
      <c r="H8" s="6" t="s">
        <v>37</v>
      </c>
      <c r="I8" s="6" t="s">
        <v>59</v>
      </c>
      <c r="J8" s="6" t="s">
        <v>38</v>
      </c>
      <c r="K8" s="6" t="s">
        <v>60</v>
      </c>
      <c r="L8" s="7" t="s">
        <v>23</v>
      </c>
      <c r="M8" s="7"/>
      <c r="N8" s="7" t="s">
        <v>23</v>
      </c>
      <c r="O8" s="7"/>
      <c r="P8" s="7" t="s">
        <v>18</v>
      </c>
      <c r="Q8" s="17"/>
    </row>
    <row r="9" spans="1:17" ht="15.75" customHeight="1">
      <c r="A9" s="1" t="s">
        <v>39</v>
      </c>
      <c r="B9" s="12" t="s">
        <v>17</v>
      </c>
      <c r="C9" s="13"/>
      <c r="D9" s="13" t="s">
        <v>17</v>
      </c>
      <c r="E9" s="13"/>
      <c r="F9" s="13" t="s">
        <v>17</v>
      </c>
      <c r="G9" s="13"/>
      <c r="H9" s="13" t="s">
        <v>40</v>
      </c>
      <c r="I9" s="13"/>
      <c r="J9" s="14" t="s">
        <v>23</v>
      </c>
      <c r="K9" s="14" t="s">
        <v>61</v>
      </c>
      <c r="L9" s="13" t="s">
        <v>17</v>
      </c>
      <c r="M9" s="13"/>
      <c r="N9" s="13" t="s">
        <v>17</v>
      </c>
      <c r="O9" s="13"/>
      <c r="P9" s="14" t="s">
        <v>18</v>
      </c>
      <c r="Q9" s="19"/>
    </row>
  </sheetData>
  <pageMargins left="0" right="0" top="0" bottom="0" header="0" footer="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3B94-76C8-4392-810F-556F9D2323AB}">
  <sheetPr>
    <pageSetUpPr fitToPage="1"/>
  </sheetPr>
  <dimension ref="A2:H11"/>
  <sheetViews>
    <sheetView topLeftCell="A4" zoomScale="85" zoomScaleNormal="85" workbookViewId="0">
      <selection activeCell="E10" sqref="E10"/>
    </sheetView>
  </sheetViews>
  <sheetFormatPr defaultColWidth="9.21875" defaultRowHeight="13.2"/>
  <cols>
    <col min="1" max="1" width="10.21875" style="62" customWidth="1"/>
    <col min="2" max="2" width="30.77734375" style="66" customWidth="1"/>
    <col min="3" max="3" width="26.77734375" style="66" customWidth="1"/>
    <col min="4" max="5" width="27.77734375" style="66" customWidth="1"/>
    <col min="6" max="6" width="27.44140625" style="66" customWidth="1"/>
    <col min="7" max="7" width="25.21875" style="66" customWidth="1"/>
    <col min="8" max="8" width="28" style="85" customWidth="1"/>
    <col min="9" max="16384" width="9.21875" style="66"/>
  </cols>
  <sheetData>
    <row r="2" spans="2:8" ht="13.8" thickBot="1">
      <c r="B2" s="63" t="s">
        <v>279</v>
      </c>
      <c r="C2" s="64">
        <v>1</v>
      </c>
      <c r="D2" s="64">
        <v>2</v>
      </c>
      <c r="E2" s="64">
        <v>3</v>
      </c>
      <c r="F2" s="64">
        <v>4</v>
      </c>
      <c r="G2" s="64">
        <v>5</v>
      </c>
      <c r="H2" s="65" t="s">
        <v>280</v>
      </c>
    </row>
    <row r="3" spans="2:8" ht="92.4">
      <c r="B3" s="67" t="s">
        <v>281</v>
      </c>
      <c r="C3" s="68" t="s">
        <v>282</v>
      </c>
      <c r="D3" s="69" t="s">
        <v>283</v>
      </c>
      <c r="E3" s="70" t="s">
        <v>284</v>
      </c>
      <c r="F3" s="90" t="s">
        <v>285</v>
      </c>
      <c r="G3" s="94" t="s">
        <v>286</v>
      </c>
      <c r="H3" s="89" t="s">
        <v>287</v>
      </c>
    </row>
    <row r="4" spans="2:8" ht="79.2">
      <c r="B4" s="71" t="s">
        <v>288</v>
      </c>
      <c r="C4" s="72" t="s">
        <v>289</v>
      </c>
      <c r="D4" s="73" t="s">
        <v>290</v>
      </c>
      <c r="E4" s="74" t="s">
        <v>291</v>
      </c>
      <c r="F4" s="91" t="s">
        <v>292</v>
      </c>
      <c r="G4" s="95" t="s">
        <v>293</v>
      </c>
      <c r="H4" s="89" t="s">
        <v>294</v>
      </c>
    </row>
    <row r="5" spans="2:8" ht="59.25" customHeight="1">
      <c r="B5" s="71" t="s">
        <v>295</v>
      </c>
      <c r="C5" s="72" t="s">
        <v>296</v>
      </c>
      <c r="D5" s="73" t="s">
        <v>297</v>
      </c>
      <c r="E5" s="74" t="s">
        <v>298</v>
      </c>
      <c r="F5" s="91" t="s">
        <v>299</v>
      </c>
      <c r="G5" s="95"/>
      <c r="H5" s="89" t="s">
        <v>300</v>
      </c>
    </row>
    <row r="6" spans="2:8" ht="61.5" customHeight="1">
      <c r="B6" s="75" t="s">
        <v>301</v>
      </c>
      <c r="C6" s="76" t="s">
        <v>302</v>
      </c>
      <c r="D6" s="77" t="s">
        <v>303</v>
      </c>
      <c r="E6" s="78" t="s">
        <v>304</v>
      </c>
      <c r="F6" s="92" t="s">
        <v>305</v>
      </c>
      <c r="G6" s="96" t="s">
        <v>306</v>
      </c>
      <c r="H6" s="89" t="s">
        <v>307</v>
      </c>
    </row>
    <row r="7" spans="2:8" ht="79.2">
      <c r="B7" s="71" t="s">
        <v>308</v>
      </c>
      <c r="C7" s="72" t="s">
        <v>309</v>
      </c>
      <c r="D7" s="73" t="s">
        <v>310</v>
      </c>
      <c r="E7" s="74" t="s">
        <v>311</v>
      </c>
      <c r="F7" s="91" t="s">
        <v>312</v>
      </c>
      <c r="G7" s="95" t="s">
        <v>313</v>
      </c>
      <c r="H7" s="89" t="s">
        <v>314</v>
      </c>
    </row>
    <row r="8" spans="2:8" ht="85.5" customHeight="1">
      <c r="B8" s="71" t="s">
        <v>315</v>
      </c>
      <c r="C8" s="72" t="s">
        <v>316</v>
      </c>
      <c r="D8" s="73" t="s">
        <v>317</v>
      </c>
      <c r="E8" s="74" t="s">
        <v>318</v>
      </c>
      <c r="F8" s="92" t="s">
        <v>319</v>
      </c>
      <c r="G8" s="96" t="s">
        <v>320</v>
      </c>
      <c r="H8" s="89" t="s">
        <v>321</v>
      </c>
    </row>
    <row r="9" spans="2:8" ht="100.5" customHeight="1">
      <c r="B9" s="71" t="s">
        <v>322</v>
      </c>
      <c r="C9" s="72" t="s">
        <v>323</v>
      </c>
      <c r="D9" s="73" t="s">
        <v>324</v>
      </c>
      <c r="E9" s="74" t="s">
        <v>325</v>
      </c>
      <c r="F9" s="91" t="s">
        <v>326</v>
      </c>
      <c r="G9" s="96" t="s">
        <v>327</v>
      </c>
      <c r="H9" s="89" t="s">
        <v>328</v>
      </c>
    </row>
    <row r="10" spans="2:8" ht="93" thickBot="1">
      <c r="B10" s="79" t="s">
        <v>329</v>
      </c>
      <c r="C10" s="80" t="s">
        <v>330</v>
      </c>
      <c r="D10" s="88" t="s">
        <v>331</v>
      </c>
      <c r="E10" s="81" t="s">
        <v>332</v>
      </c>
      <c r="F10" s="97" t="s">
        <v>333</v>
      </c>
      <c r="G10" s="93" t="s">
        <v>334</v>
      </c>
      <c r="H10" s="89" t="s">
        <v>335</v>
      </c>
    </row>
    <row r="11" spans="2:8" ht="13.8">
      <c r="B11" s="82" t="s">
        <v>336</v>
      </c>
      <c r="C11" s="83"/>
      <c r="D11" s="83"/>
      <c r="E11" s="83"/>
      <c r="F11" s="83"/>
      <c r="G11" s="83"/>
      <c r="H11" s="84"/>
    </row>
  </sheetData>
  <pageMargins left="0.7" right="0.7" top="0.75" bottom="0.75" header="0.3" footer="0.3"/>
  <pageSetup paperSize="9" scale="65"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82CA-5EAC-48E3-A919-DC1B4B097AF9}">
  <sheetPr>
    <outlinePr summaryBelow="0" summaryRight="0"/>
  </sheetPr>
  <dimension ref="A1:Z193"/>
  <sheetViews>
    <sheetView tabSelected="1" zoomScale="80" zoomScaleNormal="80" workbookViewId="0">
      <pane ySplit="1" topLeftCell="A2" activePane="bottomLeft" state="frozen"/>
      <selection pane="bottomLeft" activeCell="G4" sqref="G4"/>
    </sheetView>
  </sheetViews>
  <sheetFormatPr defaultColWidth="12.5546875" defaultRowHeight="15.75" customHeight="1"/>
  <cols>
    <col min="1" max="1" width="17.5546875" customWidth="1"/>
    <col min="2" max="2" width="22.77734375" customWidth="1"/>
    <col min="3" max="3" width="29.77734375" style="61" customWidth="1"/>
    <col min="4" max="5" width="17.77734375" customWidth="1"/>
    <col min="6" max="6" width="14.5546875" style="216" customWidth="1"/>
    <col min="7" max="7" width="33.77734375" customWidth="1"/>
    <col min="8" max="8" width="10.88671875" style="259" customWidth="1"/>
    <col min="9" max="17" width="17.77734375" style="61" customWidth="1"/>
    <col min="18" max="18" width="14.5546875" customWidth="1"/>
    <col min="19" max="20" width="13.5546875" customWidth="1"/>
    <col min="22" max="22" width="0" hidden="1" customWidth="1"/>
    <col min="23" max="23" width="27" customWidth="1"/>
    <col min="26" max="26" width="12.44140625" style="20" bestFit="1" customWidth="1"/>
  </cols>
  <sheetData>
    <row r="1" spans="1:26" ht="52.8">
      <c r="A1" s="23" t="s">
        <v>62</v>
      </c>
      <c r="B1" s="24" t="s">
        <v>63</v>
      </c>
      <c r="C1" s="24" t="s">
        <v>64</v>
      </c>
      <c r="D1" s="23" t="s">
        <v>65</v>
      </c>
      <c r="E1" s="23" t="s">
        <v>405</v>
      </c>
      <c r="F1" s="23" t="s">
        <v>66</v>
      </c>
      <c r="G1" s="23" t="s">
        <v>67</v>
      </c>
      <c r="H1" s="23" t="s">
        <v>501</v>
      </c>
      <c r="I1" s="59" t="s">
        <v>68</v>
      </c>
      <c r="J1" s="59" t="s">
        <v>69</v>
      </c>
      <c r="K1" s="59" t="s">
        <v>70</v>
      </c>
      <c r="L1" s="59" t="s">
        <v>71</v>
      </c>
      <c r="M1" s="59" t="s">
        <v>72</v>
      </c>
      <c r="N1" s="59" t="s">
        <v>73</v>
      </c>
      <c r="O1" s="59" t="s">
        <v>74</v>
      </c>
      <c r="P1" s="24" t="s">
        <v>75</v>
      </c>
      <c r="Q1" s="187" t="s">
        <v>76</v>
      </c>
      <c r="R1" s="24" t="s">
        <v>77</v>
      </c>
      <c r="S1" s="24" t="s">
        <v>78</v>
      </c>
      <c r="T1" s="24" t="s">
        <v>79</v>
      </c>
      <c r="U1" s="23" t="s">
        <v>80</v>
      </c>
      <c r="V1" s="24" t="s">
        <v>81</v>
      </c>
      <c r="W1" s="24" t="s">
        <v>82</v>
      </c>
      <c r="X1" s="23" t="s">
        <v>83</v>
      </c>
      <c r="Y1" s="23" t="s">
        <v>84</v>
      </c>
      <c r="Z1" s="23" t="s">
        <v>85</v>
      </c>
    </row>
    <row r="2" spans="1:26" ht="66">
      <c r="A2" s="25" t="s">
        <v>86</v>
      </c>
      <c r="B2" s="26" t="s">
        <v>87</v>
      </c>
      <c r="C2" s="26"/>
      <c r="D2" s="103"/>
      <c r="E2" s="104"/>
      <c r="F2" s="209"/>
      <c r="G2" s="104"/>
      <c r="H2" s="240"/>
      <c r="I2" s="121"/>
      <c r="J2" s="109"/>
      <c r="K2" s="109"/>
      <c r="L2" s="109"/>
      <c r="M2" s="109"/>
      <c r="N2" s="109"/>
      <c r="O2" s="109"/>
      <c r="P2" s="109"/>
      <c r="Q2" s="112"/>
      <c r="R2" s="26"/>
      <c r="S2" s="26" t="s">
        <v>17</v>
      </c>
      <c r="T2" s="26" t="s">
        <v>23</v>
      </c>
      <c r="U2" s="25"/>
      <c r="V2" s="25" t="s">
        <v>18</v>
      </c>
      <c r="W2" s="26" t="s">
        <v>88</v>
      </c>
      <c r="X2" s="25"/>
      <c r="Y2" s="25"/>
      <c r="Z2" s="25" t="s">
        <v>23</v>
      </c>
    </row>
    <row r="3" spans="1:26" ht="26.4">
      <c r="A3" s="327" t="s">
        <v>89</v>
      </c>
      <c r="B3" s="27" t="s">
        <v>90</v>
      </c>
      <c r="C3" s="98" t="s">
        <v>86</v>
      </c>
      <c r="D3" s="57" t="s">
        <v>17</v>
      </c>
      <c r="E3" s="195" t="s">
        <v>17</v>
      </c>
      <c r="F3" s="234" t="s">
        <v>475</v>
      </c>
      <c r="G3" s="195" t="s">
        <v>493</v>
      </c>
      <c r="H3" s="241">
        <v>30</v>
      </c>
      <c r="I3" s="121"/>
      <c r="J3" s="109"/>
      <c r="K3" s="109"/>
      <c r="L3" s="109"/>
      <c r="M3" s="109"/>
      <c r="N3" s="109"/>
      <c r="O3" s="109"/>
      <c r="P3" s="109"/>
      <c r="Q3" s="112"/>
      <c r="R3" s="26" t="s">
        <v>93</v>
      </c>
      <c r="S3" s="26" t="s">
        <v>23</v>
      </c>
      <c r="T3" s="26" t="s">
        <v>94</v>
      </c>
      <c r="U3" s="25"/>
      <c r="V3" s="25" t="s">
        <v>95</v>
      </c>
      <c r="W3" s="26" t="s">
        <v>96</v>
      </c>
      <c r="X3" s="25"/>
      <c r="Y3" s="25"/>
      <c r="Z3" s="25" t="s">
        <v>17</v>
      </c>
    </row>
    <row r="4" spans="1:26" ht="13.2">
      <c r="A4" s="327"/>
      <c r="B4" s="305" t="s">
        <v>97</v>
      </c>
      <c r="C4" s="98" t="s">
        <v>101</v>
      </c>
      <c r="D4" s="188" t="s">
        <v>17</v>
      </c>
      <c r="E4" s="195" t="s">
        <v>17</v>
      </c>
      <c r="F4" s="234" t="s">
        <v>475</v>
      </c>
      <c r="G4" s="370" t="s">
        <v>494</v>
      </c>
      <c r="H4" s="241">
        <v>31</v>
      </c>
      <c r="I4" s="121"/>
      <c r="J4" s="109"/>
      <c r="K4" s="109"/>
      <c r="L4" s="109"/>
      <c r="M4" s="109"/>
      <c r="N4" s="109"/>
      <c r="O4" s="109"/>
      <c r="P4" s="109"/>
      <c r="Q4" s="112"/>
      <c r="R4" s="26" t="str">
        <f>IF(D4="Nee","-","&lt;vul in&gt;")</f>
        <v>&lt;vul in&gt;</v>
      </c>
      <c r="S4" s="26" t="s">
        <v>23</v>
      </c>
      <c r="T4" s="26" t="s">
        <v>94</v>
      </c>
      <c r="U4" s="25"/>
      <c r="V4" s="25" t="s">
        <v>18</v>
      </c>
      <c r="W4" s="26"/>
      <c r="X4" s="25"/>
      <c r="Y4" s="25"/>
      <c r="Z4" s="25" t="s">
        <v>23</v>
      </c>
    </row>
    <row r="5" spans="1:26" ht="13.2">
      <c r="A5" s="327"/>
      <c r="B5" s="305"/>
      <c r="C5" s="98" t="s">
        <v>498</v>
      </c>
      <c r="D5" s="188" t="s">
        <v>17</v>
      </c>
      <c r="E5" s="195" t="s">
        <v>17</v>
      </c>
      <c r="F5" s="234" t="s">
        <v>475</v>
      </c>
      <c r="G5" s="195" t="s">
        <v>495</v>
      </c>
      <c r="H5" s="241">
        <v>32</v>
      </c>
      <c r="I5" s="121"/>
      <c r="J5" s="109"/>
      <c r="K5" s="109"/>
      <c r="L5" s="109"/>
      <c r="M5" s="109"/>
      <c r="N5" s="109"/>
      <c r="O5" s="109"/>
      <c r="P5" s="109"/>
      <c r="Q5" s="112"/>
      <c r="R5" s="26" t="str">
        <f>IF(D5="Nee","-","&lt;vul in&gt;")</f>
        <v>&lt;vul in&gt;</v>
      </c>
      <c r="S5" s="26" t="s">
        <v>23</v>
      </c>
      <c r="T5" s="26" t="s">
        <v>94</v>
      </c>
      <c r="U5" s="25"/>
      <c r="V5" s="25" t="s">
        <v>18</v>
      </c>
      <c r="W5" s="26"/>
      <c r="X5" s="25"/>
      <c r="Y5" s="25"/>
      <c r="Z5" s="25" t="s">
        <v>23</v>
      </c>
    </row>
    <row r="6" spans="1:26" ht="13.2">
      <c r="A6" s="327"/>
      <c r="B6" s="305"/>
      <c r="C6" s="98" t="s">
        <v>499</v>
      </c>
      <c r="D6" s="188" t="s">
        <v>17</v>
      </c>
      <c r="E6" s="195" t="s">
        <v>17</v>
      </c>
      <c r="F6" s="234" t="s">
        <v>475</v>
      </c>
      <c r="G6" s="195" t="s">
        <v>496</v>
      </c>
      <c r="H6" s="241">
        <v>33</v>
      </c>
      <c r="I6" s="121"/>
      <c r="J6" s="109"/>
      <c r="K6" s="109"/>
      <c r="L6" s="109"/>
      <c r="M6" s="109"/>
      <c r="N6" s="109"/>
      <c r="O6" s="109"/>
      <c r="P6" s="109"/>
      <c r="Q6" s="112"/>
      <c r="R6" s="26" t="str">
        <f>IF(D6="Nee","-","&lt;vul in&gt;")</f>
        <v>&lt;vul in&gt;</v>
      </c>
      <c r="S6" s="26" t="s">
        <v>23</v>
      </c>
      <c r="T6" s="26" t="s">
        <v>94</v>
      </c>
      <c r="U6" s="25"/>
      <c r="V6" s="25" t="s">
        <v>95</v>
      </c>
      <c r="W6" s="26"/>
      <c r="X6" s="25"/>
      <c r="Y6" s="25"/>
      <c r="Z6" s="25" t="s">
        <v>23</v>
      </c>
    </row>
    <row r="7" spans="1:26" ht="13.2">
      <c r="A7" s="327"/>
      <c r="B7" s="305"/>
      <c r="C7" s="98" t="s">
        <v>500</v>
      </c>
      <c r="D7" s="188" t="s">
        <v>17</v>
      </c>
      <c r="E7" s="195" t="s">
        <v>17</v>
      </c>
      <c r="F7" s="234" t="s">
        <v>475</v>
      </c>
      <c r="G7" s="195" t="s">
        <v>497</v>
      </c>
      <c r="H7" s="241">
        <v>34</v>
      </c>
      <c r="I7" s="121"/>
      <c r="J7" s="109"/>
      <c r="K7" s="109"/>
      <c r="L7" s="109"/>
      <c r="M7" s="109"/>
      <c r="N7" s="109"/>
      <c r="O7" s="109"/>
      <c r="P7" s="109"/>
      <c r="Q7" s="112"/>
      <c r="R7" s="26" t="str">
        <f>IF(D7="Nee","-","&lt;vul in&gt;")</f>
        <v>&lt;vul in&gt;</v>
      </c>
      <c r="S7" s="26" t="s">
        <v>23</v>
      </c>
      <c r="T7" s="26" t="s">
        <v>94</v>
      </c>
      <c r="U7" s="25"/>
      <c r="V7" s="25" t="s">
        <v>18</v>
      </c>
      <c r="W7" s="26"/>
      <c r="X7" s="25"/>
      <c r="Y7" s="25"/>
      <c r="Z7" s="25" t="s">
        <v>23</v>
      </c>
    </row>
    <row r="8" spans="1:26" ht="26.4">
      <c r="A8" s="327"/>
      <c r="B8" s="305" t="s">
        <v>103</v>
      </c>
      <c r="C8" s="114" t="s">
        <v>104</v>
      </c>
      <c r="D8" s="188" t="s">
        <v>105</v>
      </c>
      <c r="E8" s="195"/>
      <c r="F8" s="215" t="str">
        <f>IF(D8="Nee","-","&lt;vul in&gt;")</f>
        <v>-</v>
      </c>
      <c r="G8" s="195"/>
      <c r="H8" s="241"/>
      <c r="I8" s="121"/>
      <c r="J8" s="109"/>
      <c r="K8" s="109"/>
      <c r="L8" s="109"/>
      <c r="M8" s="109"/>
      <c r="N8" s="109"/>
      <c r="O8" s="109"/>
      <c r="P8" s="109"/>
      <c r="Q8" s="112"/>
      <c r="R8" s="26" t="str">
        <f>IF(D8="Nee","-","&lt;vul in&gt;")</f>
        <v>-</v>
      </c>
      <c r="S8" s="26" t="s">
        <v>23</v>
      </c>
      <c r="T8" s="26" t="s">
        <v>94</v>
      </c>
      <c r="U8" s="25"/>
      <c r="V8" s="25" t="s">
        <v>18</v>
      </c>
      <c r="W8" s="26"/>
      <c r="X8" s="25"/>
      <c r="Y8" s="25"/>
      <c r="Z8" s="25" t="s">
        <v>23</v>
      </c>
    </row>
    <row r="9" spans="1:26" ht="13.2">
      <c r="A9" s="327"/>
      <c r="B9" s="305"/>
      <c r="C9" s="98" t="s">
        <v>106</v>
      </c>
      <c r="D9" s="188" t="s">
        <v>17</v>
      </c>
      <c r="E9" s="195"/>
      <c r="F9" s="215"/>
      <c r="G9" s="195"/>
      <c r="H9" s="241"/>
      <c r="I9" s="121"/>
      <c r="J9" s="109"/>
      <c r="K9" s="109"/>
      <c r="L9" s="109"/>
      <c r="M9" s="109"/>
      <c r="N9" s="109"/>
      <c r="O9" s="109"/>
      <c r="P9" s="109"/>
      <c r="Q9" s="112"/>
      <c r="R9" s="26"/>
      <c r="S9" s="26" t="s">
        <v>23</v>
      </c>
      <c r="T9" s="26" t="s">
        <v>94</v>
      </c>
      <c r="U9" s="25"/>
      <c r="V9" s="25"/>
      <c r="W9" s="26"/>
      <c r="X9" s="25"/>
      <c r="Y9" s="25"/>
      <c r="Z9" s="25" t="s">
        <v>23</v>
      </c>
    </row>
    <row r="10" spans="1:26" ht="13.2">
      <c r="A10" s="327"/>
      <c r="B10" s="305"/>
      <c r="C10" s="98" t="s">
        <v>528</v>
      </c>
      <c r="D10" s="188" t="s">
        <v>17</v>
      </c>
      <c r="E10" s="195" t="s">
        <v>17</v>
      </c>
      <c r="F10" s="215" t="s">
        <v>527</v>
      </c>
      <c r="G10" s="195" t="s">
        <v>526</v>
      </c>
      <c r="H10" s="241">
        <v>37</v>
      </c>
      <c r="I10" s="121"/>
      <c r="J10" s="109"/>
      <c r="K10" s="109"/>
      <c r="L10" s="109"/>
      <c r="M10" s="109"/>
      <c r="N10" s="109"/>
      <c r="O10" s="109"/>
      <c r="P10" s="109"/>
      <c r="Q10" s="112"/>
      <c r="R10" s="26"/>
      <c r="S10" s="26"/>
      <c r="T10" s="26"/>
      <c r="U10" s="25"/>
      <c r="V10" s="25"/>
      <c r="W10" s="26"/>
      <c r="X10" s="25"/>
      <c r="Y10" s="25"/>
      <c r="Z10" s="25"/>
    </row>
    <row r="11" spans="1:26" ht="13.2">
      <c r="A11" s="327"/>
      <c r="B11" s="305"/>
      <c r="C11" s="98" t="s">
        <v>107</v>
      </c>
      <c r="D11" s="188" t="s">
        <v>17</v>
      </c>
      <c r="E11" s="195" t="s">
        <v>23</v>
      </c>
      <c r="F11" s="215" t="s">
        <v>450</v>
      </c>
      <c r="G11" s="195" t="s">
        <v>108</v>
      </c>
      <c r="H11" s="241">
        <v>9</v>
      </c>
      <c r="I11" s="121"/>
      <c r="J11" s="109"/>
      <c r="K11" s="109"/>
      <c r="L11" s="109"/>
      <c r="M11" s="109"/>
      <c r="N11" s="109"/>
      <c r="O11" s="109"/>
      <c r="P11" s="109"/>
      <c r="Q11" s="112"/>
      <c r="R11" s="26"/>
      <c r="S11" s="26" t="s">
        <v>23</v>
      </c>
      <c r="T11" s="26" t="s">
        <v>94</v>
      </c>
      <c r="U11" s="25"/>
      <c r="V11" s="25" t="s">
        <v>95</v>
      </c>
      <c r="W11" s="26"/>
      <c r="X11" s="25"/>
      <c r="Y11" s="25"/>
      <c r="Z11" s="25" t="s">
        <v>23</v>
      </c>
    </row>
    <row r="12" spans="1:26" ht="39.6">
      <c r="A12" s="327"/>
      <c r="B12" s="305"/>
      <c r="C12" s="98" t="s">
        <v>109</v>
      </c>
      <c r="D12" s="188" t="s">
        <v>17</v>
      </c>
      <c r="E12" s="195" t="s">
        <v>23</v>
      </c>
      <c r="F12" s="215" t="s">
        <v>450</v>
      </c>
      <c r="G12" s="195" t="s">
        <v>108</v>
      </c>
      <c r="H12" s="241">
        <v>11</v>
      </c>
      <c r="I12" s="121"/>
      <c r="J12" s="109"/>
      <c r="K12" s="109"/>
      <c r="L12" s="109"/>
      <c r="M12" s="109"/>
      <c r="N12" s="109"/>
      <c r="O12" s="109"/>
      <c r="P12" s="109"/>
      <c r="Q12" s="112"/>
      <c r="R12" s="26" t="str">
        <f t="shared" ref="R12:R24" si="0">IF(D12="Nee","-","&lt;vul in&gt;")</f>
        <v>&lt;vul in&gt;</v>
      </c>
      <c r="S12" s="26" t="s">
        <v>23</v>
      </c>
      <c r="T12" s="26" t="s">
        <v>94</v>
      </c>
      <c r="U12" s="25"/>
      <c r="V12" s="25" t="s">
        <v>95</v>
      </c>
      <c r="W12" s="26"/>
      <c r="X12" s="25"/>
      <c r="Y12" s="25"/>
      <c r="Z12" s="25" t="s">
        <v>23</v>
      </c>
    </row>
    <row r="13" spans="1:26" ht="39.6">
      <c r="A13" s="327"/>
      <c r="B13" s="305"/>
      <c r="C13" s="98" t="s">
        <v>109</v>
      </c>
      <c r="D13" s="188" t="s">
        <v>17</v>
      </c>
      <c r="E13" s="195" t="s">
        <v>17</v>
      </c>
      <c r="F13" s="215" t="s">
        <v>524</v>
      </c>
      <c r="G13" s="195" t="s">
        <v>523</v>
      </c>
      <c r="H13" s="241">
        <v>35</v>
      </c>
      <c r="I13" s="121"/>
      <c r="J13" s="109"/>
      <c r="K13" s="109"/>
      <c r="L13" s="109"/>
      <c r="M13" s="109"/>
      <c r="N13" s="109"/>
      <c r="O13" s="109"/>
      <c r="P13" s="109"/>
      <c r="Q13" s="112"/>
      <c r="R13" s="26"/>
      <c r="S13" s="26"/>
      <c r="T13" s="26"/>
      <c r="U13" s="25"/>
      <c r="V13" s="25"/>
      <c r="W13" s="26"/>
      <c r="X13" s="25"/>
      <c r="Y13" s="25"/>
      <c r="Z13" s="25"/>
    </row>
    <row r="14" spans="1:26" ht="13.2">
      <c r="A14" s="327"/>
      <c r="B14" s="305"/>
      <c r="C14" s="98" t="s">
        <v>110</v>
      </c>
      <c r="D14" s="188" t="s">
        <v>17</v>
      </c>
      <c r="E14" s="195" t="s">
        <v>23</v>
      </c>
      <c r="F14" s="215" t="s">
        <v>450</v>
      </c>
      <c r="G14" s="195" t="s">
        <v>108</v>
      </c>
      <c r="H14" s="241">
        <v>10</v>
      </c>
      <c r="I14" s="121"/>
      <c r="J14" s="109"/>
      <c r="K14" s="109"/>
      <c r="L14" s="109"/>
      <c r="M14" s="109"/>
      <c r="N14" s="109"/>
      <c r="O14" s="109"/>
      <c r="P14" s="109"/>
      <c r="Q14" s="112"/>
      <c r="R14" s="26" t="str">
        <f t="shared" si="0"/>
        <v>&lt;vul in&gt;</v>
      </c>
      <c r="S14" s="26" t="s">
        <v>23</v>
      </c>
      <c r="T14" s="26" t="s">
        <v>94</v>
      </c>
      <c r="U14" s="25"/>
      <c r="V14" s="25" t="s">
        <v>95</v>
      </c>
      <c r="W14" s="26"/>
      <c r="X14" s="25"/>
      <c r="Y14" s="25"/>
      <c r="Z14" s="25" t="s">
        <v>23</v>
      </c>
    </row>
    <row r="15" spans="1:26" ht="13.2">
      <c r="A15" s="327"/>
      <c r="B15" s="305"/>
      <c r="C15" s="98" t="s">
        <v>521</v>
      </c>
      <c r="D15" s="188" t="s">
        <v>17</v>
      </c>
      <c r="E15" s="217" t="s">
        <v>17</v>
      </c>
      <c r="F15" s="235" t="s">
        <v>525</v>
      </c>
      <c r="G15" s="195" t="s">
        <v>522</v>
      </c>
      <c r="H15" s="241">
        <v>36</v>
      </c>
      <c r="I15" s="121"/>
      <c r="J15" s="109"/>
      <c r="K15" s="109"/>
      <c r="L15" s="109"/>
      <c r="M15" s="109"/>
      <c r="N15" s="109"/>
      <c r="O15" s="109"/>
      <c r="P15" s="109"/>
      <c r="Q15" s="112"/>
      <c r="R15" s="26"/>
      <c r="S15" s="26"/>
      <c r="T15" s="26"/>
      <c r="U15" s="25"/>
      <c r="V15" s="25"/>
      <c r="W15" s="26"/>
      <c r="X15" s="25"/>
      <c r="Y15" s="25"/>
      <c r="Z15" s="25"/>
    </row>
    <row r="16" spans="1:26" ht="13.2">
      <c r="A16" s="327"/>
      <c r="B16" s="305"/>
      <c r="C16" s="114" t="s">
        <v>111</v>
      </c>
      <c r="D16" s="188" t="s">
        <v>105</v>
      </c>
      <c r="E16" s="217"/>
      <c r="F16" s="235" t="str">
        <f>IF(D16="Nee","-","&lt;vul in&gt;")</f>
        <v>-</v>
      </c>
      <c r="G16" s="195"/>
      <c r="H16" s="241"/>
      <c r="I16" s="121"/>
      <c r="J16" s="109"/>
      <c r="K16" s="109"/>
      <c r="L16" s="109"/>
      <c r="M16" s="109"/>
      <c r="N16" s="109"/>
      <c r="O16" s="109"/>
      <c r="P16" s="109"/>
      <c r="Q16" s="112"/>
      <c r="R16" s="26" t="str">
        <f t="shared" si="0"/>
        <v>-</v>
      </c>
      <c r="S16" s="26" t="s">
        <v>23</v>
      </c>
      <c r="T16" s="26" t="s">
        <v>94</v>
      </c>
      <c r="U16" s="25"/>
      <c r="V16" s="25" t="s">
        <v>18</v>
      </c>
      <c r="W16" s="26"/>
      <c r="X16" s="25"/>
      <c r="Y16" s="25"/>
      <c r="Z16" s="25" t="s">
        <v>23</v>
      </c>
    </row>
    <row r="17" spans="1:26" ht="13.2">
      <c r="A17" s="327"/>
      <c r="B17" s="305" t="s">
        <v>112</v>
      </c>
      <c r="C17" s="98" t="s">
        <v>86</v>
      </c>
      <c r="D17" s="57" t="s">
        <v>17</v>
      </c>
      <c r="E17" s="104" t="s">
        <v>17</v>
      </c>
      <c r="F17" s="212" t="s">
        <v>475</v>
      </c>
      <c r="G17" s="193" t="s">
        <v>471</v>
      </c>
      <c r="H17" s="242">
        <v>23</v>
      </c>
      <c r="I17" s="121">
        <v>1</v>
      </c>
      <c r="J17" s="109">
        <v>1</v>
      </c>
      <c r="K17" s="109">
        <v>1</v>
      </c>
      <c r="L17" s="109">
        <v>1</v>
      </c>
      <c r="M17" s="109">
        <v>2</v>
      </c>
      <c r="N17" s="109">
        <v>0</v>
      </c>
      <c r="O17" s="109">
        <v>3</v>
      </c>
      <c r="P17" s="109">
        <v>2</v>
      </c>
      <c r="Q17" s="112">
        <f t="shared" ref="Q17" si="1">SUM(I17:P17)/COUNTIF(I17:P17,"&gt;0")</f>
        <v>1.5714285714285714</v>
      </c>
      <c r="R17" s="26" t="str">
        <f t="shared" si="0"/>
        <v>&lt;vul in&gt;</v>
      </c>
      <c r="S17" s="26" t="s">
        <v>23</v>
      </c>
      <c r="T17" s="26" t="s">
        <v>94</v>
      </c>
      <c r="U17" s="25"/>
      <c r="V17" s="25" t="s">
        <v>115</v>
      </c>
      <c r="W17" s="26"/>
      <c r="X17" s="25"/>
      <c r="Y17" s="25"/>
      <c r="Z17" s="25" t="s">
        <v>17</v>
      </c>
    </row>
    <row r="18" spans="1:26" ht="26.4">
      <c r="A18" s="327"/>
      <c r="B18" s="305"/>
      <c r="C18" s="296" t="s">
        <v>116</v>
      </c>
      <c r="D18" s="330" t="s">
        <v>17</v>
      </c>
      <c r="E18" s="57" t="s">
        <v>23</v>
      </c>
      <c r="F18" s="236" t="s">
        <v>117</v>
      </c>
      <c r="G18" s="60" t="s">
        <v>118</v>
      </c>
      <c r="H18" s="243"/>
      <c r="I18" s="121"/>
      <c r="J18" s="109"/>
      <c r="K18" s="109"/>
      <c r="L18" s="109"/>
      <c r="M18" s="109"/>
      <c r="N18" s="109"/>
      <c r="O18" s="109">
        <v>4</v>
      </c>
      <c r="P18" s="109"/>
      <c r="Q18" s="112"/>
      <c r="R18" s="26" t="str">
        <f t="shared" si="0"/>
        <v>&lt;vul in&gt;</v>
      </c>
      <c r="S18" s="26" t="s">
        <v>23</v>
      </c>
      <c r="T18" s="26" t="s">
        <v>94</v>
      </c>
      <c r="U18" s="25"/>
      <c r="V18" s="25" t="s">
        <v>95</v>
      </c>
      <c r="W18" s="26" t="s">
        <v>119</v>
      </c>
      <c r="X18" s="25"/>
      <c r="Y18" s="25"/>
      <c r="Z18" s="25" t="s">
        <v>17</v>
      </c>
    </row>
    <row r="19" spans="1:26" ht="13.2">
      <c r="A19" s="327"/>
      <c r="B19" s="305"/>
      <c r="C19" s="297"/>
      <c r="D19" s="331"/>
      <c r="E19" s="104" t="s">
        <v>17</v>
      </c>
      <c r="F19" s="236" t="s">
        <v>147</v>
      </c>
      <c r="G19" s="155" t="s">
        <v>430</v>
      </c>
      <c r="H19" s="244">
        <v>12</v>
      </c>
      <c r="I19" s="121">
        <v>1</v>
      </c>
      <c r="J19" s="109">
        <v>1</v>
      </c>
      <c r="K19" s="109">
        <v>1</v>
      </c>
      <c r="L19" s="109">
        <v>1</v>
      </c>
      <c r="M19" s="109">
        <v>4</v>
      </c>
      <c r="N19" s="109">
        <v>0</v>
      </c>
      <c r="O19" s="109">
        <v>5</v>
      </c>
      <c r="P19" s="109">
        <v>1</v>
      </c>
      <c r="Q19" s="112">
        <f>SUM(I19:P19)/COUNTIF(I19:P19,"&gt;0")</f>
        <v>2</v>
      </c>
      <c r="R19" s="26" t="str">
        <f t="shared" si="0"/>
        <v>&lt;vul in&gt;</v>
      </c>
      <c r="S19" s="26"/>
      <c r="T19" s="26"/>
      <c r="U19" s="25"/>
      <c r="V19" s="25"/>
      <c r="W19" s="26"/>
      <c r="X19" s="25"/>
      <c r="Y19" s="25"/>
      <c r="Z19" s="25"/>
    </row>
    <row r="20" spans="1:26" ht="13.2">
      <c r="A20" s="327"/>
      <c r="B20" s="305"/>
      <c r="C20" s="98" t="s">
        <v>120</v>
      </c>
      <c r="D20" s="57" t="s">
        <v>17</v>
      </c>
      <c r="E20" s="104" t="s">
        <v>17</v>
      </c>
      <c r="F20" s="213" t="s">
        <v>117</v>
      </c>
      <c r="G20" s="104" t="s">
        <v>121</v>
      </c>
      <c r="H20" s="245">
        <v>14</v>
      </c>
      <c r="I20" s="237">
        <v>1</v>
      </c>
      <c r="J20" s="109">
        <v>1</v>
      </c>
      <c r="K20" s="109">
        <v>1</v>
      </c>
      <c r="L20" s="109">
        <v>1</v>
      </c>
      <c r="M20" s="109">
        <v>4</v>
      </c>
      <c r="N20" s="109">
        <v>0</v>
      </c>
      <c r="O20" s="109">
        <v>4</v>
      </c>
      <c r="P20" s="109">
        <v>2</v>
      </c>
      <c r="Q20" s="112">
        <f t="shared" ref="Q20" si="2">SUM(I20:P20)/COUNTIF(I20:P20,"&gt;0")</f>
        <v>2</v>
      </c>
      <c r="R20" s="26" t="str">
        <f t="shared" si="0"/>
        <v>&lt;vul in&gt;</v>
      </c>
      <c r="S20" s="26" t="s">
        <v>23</v>
      </c>
      <c r="T20" s="26" t="s">
        <v>94</v>
      </c>
      <c r="U20" s="25"/>
      <c r="V20" s="25" t="s">
        <v>95</v>
      </c>
      <c r="W20" s="26"/>
      <c r="X20" s="25"/>
      <c r="Y20" s="25"/>
      <c r="Z20" s="25" t="s">
        <v>17</v>
      </c>
    </row>
    <row r="21" spans="1:26" ht="16.95" customHeight="1">
      <c r="A21" s="327"/>
      <c r="B21" s="300" t="s">
        <v>122</v>
      </c>
      <c r="C21" s="296" t="s">
        <v>86</v>
      </c>
      <c r="D21" s="57" t="s">
        <v>23</v>
      </c>
      <c r="E21" s="104" t="s">
        <v>17</v>
      </c>
      <c r="F21" s="212" t="s">
        <v>475</v>
      </c>
      <c r="G21" s="193" t="s">
        <v>472</v>
      </c>
      <c r="H21" s="246">
        <v>25</v>
      </c>
      <c r="I21" s="121">
        <v>1</v>
      </c>
      <c r="J21" s="109">
        <v>1</v>
      </c>
      <c r="K21" s="109">
        <v>1</v>
      </c>
      <c r="L21" s="109">
        <v>1</v>
      </c>
      <c r="M21" s="109">
        <v>2</v>
      </c>
      <c r="N21" s="109">
        <v>0</v>
      </c>
      <c r="O21" s="109">
        <v>3</v>
      </c>
      <c r="P21" s="109">
        <v>4</v>
      </c>
      <c r="Q21" s="112">
        <f>SUM(I21:P21)/COUNTIF(I21:P21,"&gt;0")</f>
        <v>1.8571428571428572</v>
      </c>
      <c r="R21" s="26" t="str">
        <f t="shared" si="0"/>
        <v>-</v>
      </c>
      <c r="S21" s="26" t="s">
        <v>23</v>
      </c>
      <c r="T21" s="26" t="s">
        <v>94</v>
      </c>
      <c r="U21" s="25"/>
      <c r="V21" s="25" t="s">
        <v>105</v>
      </c>
      <c r="W21" s="26" t="s">
        <v>96</v>
      </c>
      <c r="X21" s="25"/>
      <c r="Y21" s="25"/>
      <c r="Z21" s="25" t="s">
        <v>23</v>
      </c>
    </row>
    <row r="22" spans="1:26" ht="13.2">
      <c r="A22" s="327"/>
      <c r="B22" s="301"/>
      <c r="C22" s="297"/>
      <c r="D22" s="57" t="s">
        <v>17</v>
      </c>
      <c r="E22" s="104" t="s">
        <v>23</v>
      </c>
      <c r="F22" s="212" t="s">
        <v>463</v>
      </c>
      <c r="G22" s="193" t="s">
        <v>430</v>
      </c>
      <c r="H22" s="242"/>
      <c r="I22" s="121">
        <v>1</v>
      </c>
      <c r="J22" s="109">
        <v>1</v>
      </c>
      <c r="K22" s="109">
        <v>1</v>
      </c>
      <c r="L22" s="109">
        <v>1</v>
      </c>
      <c r="M22" s="109">
        <v>4</v>
      </c>
      <c r="N22" s="109">
        <v>0</v>
      </c>
      <c r="O22" s="109">
        <v>5</v>
      </c>
      <c r="P22" s="109">
        <v>1</v>
      </c>
      <c r="Q22" s="112">
        <f>SUM(I22:P22)/COUNTIF(I22:P22,"&gt;0")</f>
        <v>2</v>
      </c>
      <c r="R22" s="26" t="str">
        <f t="shared" si="0"/>
        <v>&lt;vul in&gt;</v>
      </c>
      <c r="S22" s="26"/>
      <c r="T22" s="26"/>
      <c r="U22" s="25"/>
      <c r="V22" s="25"/>
      <c r="W22" s="26"/>
      <c r="X22" s="25"/>
      <c r="Y22" s="25"/>
      <c r="Z22" s="25"/>
    </row>
    <row r="23" spans="1:26" ht="13.2">
      <c r="A23" s="327"/>
      <c r="B23" s="301"/>
      <c r="C23" s="98" t="s">
        <v>123</v>
      </c>
      <c r="D23" s="57" t="s">
        <v>17</v>
      </c>
      <c r="E23" s="104" t="s">
        <v>17</v>
      </c>
      <c r="F23" s="213" t="s">
        <v>466</v>
      </c>
      <c r="G23" s="201" t="s">
        <v>430</v>
      </c>
      <c r="H23" s="246">
        <v>15</v>
      </c>
      <c r="I23" s="121">
        <v>1</v>
      </c>
      <c r="J23" s="109">
        <v>1</v>
      </c>
      <c r="K23" s="109">
        <v>1</v>
      </c>
      <c r="L23" s="109">
        <v>1</v>
      </c>
      <c r="M23" s="109">
        <v>4</v>
      </c>
      <c r="N23" s="109">
        <v>0</v>
      </c>
      <c r="O23" s="109">
        <v>5</v>
      </c>
      <c r="P23" s="109">
        <v>1</v>
      </c>
      <c r="Q23" s="112">
        <f t="shared" ref="Q23:Q24" si="3">SUM(I23:P23)/COUNTIF(I23:P23,"&gt;0")</f>
        <v>2</v>
      </c>
      <c r="R23" s="26" t="str">
        <f t="shared" si="0"/>
        <v>&lt;vul in&gt;</v>
      </c>
      <c r="S23" s="26" t="s">
        <v>23</v>
      </c>
      <c r="T23" s="26" t="s">
        <v>94</v>
      </c>
      <c r="U23" s="25"/>
      <c r="V23" s="25" t="s">
        <v>95</v>
      </c>
      <c r="W23" s="26"/>
      <c r="X23" s="25"/>
      <c r="Y23" s="25"/>
      <c r="Z23" s="25" t="s">
        <v>125</v>
      </c>
    </row>
    <row r="24" spans="1:26" ht="13.2">
      <c r="A24" s="327"/>
      <c r="B24" s="301"/>
      <c r="C24" s="183" t="s">
        <v>126</v>
      </c>
      <c r="D24" s="57" t="s">
        <v>23</v>
      </c>
      <c r="E24" s="104" t="s">
        <v>23</v>
      </c>
      <c r="F24" s="213"/>
      <c r="G24" s="201"/>
      <c r="H24" s="246"/>
      <c r="I24" s="121">
        <v>1</v>
      </c>
      <c r="J24" s="109">
        <v>1</v>
      </c>
      <c r="K24" s="109">
        <v>1</v>
      </c>
      <c r="L24" s="109">
        <v>1</v>
      </c>
      <c r="M24" s="109">
        <v>4</v>
      </c>
      <c r="N24" s="109">
        <v>0</v>
      </c>
      <c r="O24" s="109">
        <v>5</v>
      </c>
      <c r="P24" s="109">
        <v>3</v>
      </c>
      <c r="Q24" s="112">
        <f t="shared" si="3"/>
        <v>2.2857142857142856</v>
      </c>
      <c r="R24" s="26" t="str">
        <f t="shared" si="0"/>
        <v>-</v>
      </c>
      <c r="S24" s="26" t="s">
        <v>23</v>
      </c>
      <c r="T24" s="26" t="s">
        <v>94</v>
      </c>
      <c r="U24" s="25"/>
      <c r="V24" s="25" t="s">
        <v>105</v>
      </c>
      <c r="W24" s="26"/>
      <c r="X24" s="25"/>
      <c r="Y24" s="25"/>
      <c r="Z24" s="25" t="s">
        <v>23</v>
      </c>
    </row>
    <row r="25" spans="1:26" ht="13.2">
      <c r="A25" s="327"/>
      <c r="B25" s="329"/>
      <c r="C25" s="60" t="s">
        <v>474</v>
      </c>
      <c r="D25" s="261"/>
      <c r="E25" s="189"/>
      <c r="F25" s="213"/>
      <c r="G25" s="201" t="s">
        <v>473</v>
      </c>
      <c r="H25" s="246"/>
      <c r="I25" s="121"/>
      <c r="J25" s="109"/>
      <c r="K25" s="109"/>
      <c r="L25" s="109"/>
      <c r="M25" s="109"/>
      <c r="N25" s="109"/>
      <c r="O25" s="109"/>
      <c r="P25" s="109"/>
      <c r="Q25" s="112"/>
      <c r="R25" s="26"/>
      <c r="S25" s="26"/>
      <c r="T25" s="26"/>
      <c r="U25" s="25"/>
      <c r="V25" s="25"/>
      <c r="W25" s="26"/>
      <c r="X25" s="25"/>
      <c r="Y25" s="25"/>
      <c r="Z25" s="25"/>
    </row>
    <row r="26" spans="1:26" ht="14.55" customHeight="1">
      <c r="A26" s="327"/>
      <c r="B26" s="305" t="s">
        <v>128</v>
      </c>
      <c r="C26" s="21" t="s">
        <v>86</v>
      </c>
      <c r="D26" s="57" t="s">
        <v>17</v>
      </c>
      <c r="E26" s="189" t="s">
        <v>17</v>
      </c>
      <c r="F26" s="212" t="s">
        <v>475</v>
      </c>
      <c r="G26" s="193" t="s">
        <v>427</v>
      </c>
      <c r="H26" s="242">
        <v>24</v>
      </c>
      <c r="I26" s="121">
        <v>1</v>
      </c>
      <c r="J26" s="109">
        <v>1</v>
      </c>
      <c r="K26" s="109">
        <v>1</v>
      </c>
      <c r="L26" s="109">
        <v>1</v>
      </c>
      <c r="M26" s="109">
        <v>2</v>
      </c>
      <c r="N26" s="109"/>
      <c r="O26" s="109">
        <v>3</v>
      </c>
      <c r="P26" s="109">
        <v>1</v>
      </c>
      <c r="Q26" s="112">
        <f>SUM(I26:P26)/COUNTIF(I26:P26,"&gt;0")</f>
        <v>1.4285714285714286</v>
      </c>
      <c r="R26" s="26" t="str">
        <f t="shared" ref="R26:R32" si="4">IF(D26="Nee","-","&lt;vul in&gt;")</f>
        <v>&lt;vul in&gt;</v>
      </c>
      <c r="S26" s="26" t="s">
        <v>23</v>
      </c>
      <c r="T26" s="26" t="s">
        <v>94</v>
      </c>
      <c r="U26" s="25"/>
      <c r="V26" s="25" t="s">
        <v>115</v>
      </c>
      <c r="W26" s="26" t="s">
        <v>96</v>
      </c>
      <c r="X26" s="25"/>
      <c r="Y26" s="25"/>
      <c r="Z26" s="25" t="s">
        <v>17</v>
      </c>
    </row>
    <row r="27" spans="1:26" ht="13.2">
      <c r="A27" s="327"/>
      <c r="B27" s="305"/>
      <c r="C27" s="98" t="s">
        <v>129</v>
      </c>
      <c r="D27" s="57" t="s">
        <v>17</v>
      </c>
      <c r="E27" s="189" t="s">
        <v>17</v>
      </c>
      <c r="F27" s="213" t="s">
        <v>130</v>
      </c>
      <c r="G27" s="193" t="s">
        <v>430</v>
      </c>
      <c r="H27" s="242">
        <v>16</v>
      </c>
      <c r="I27" s="121">
        <v>1</v>
      </c>
      <c r="J27" s="121">
        <v>1</v>
      </c>
      <c r="K27" s="109">
        <v>1</v>
      </c>
      <c r="L27" s="109">
        <v>1</v>
      </c>
      <c r="M27" s="109">
        <v>4</v>
      </c>
      <c r="N27" s="109">
        <v>0</v>
      </c>
      <c r="O27" s="109">
        <v>5</v>
      </c>
      <c r="P27" s="109">
        <v>2</v>
      </c>
      <c r="Q27" s="112">
        <f t="shared" ref="Q27:Q33" si="5">SUM(I27:P27)/COUNTIF(I27:P27,"&gt;0")</f>
        <v>2.1428571428571428</v>
      </c>
      <c r="R27" s="26" t="str">
        <f t="shared" si="4"/>
        <v>&lt;vul in&gt;</v>
      </c>
      <c r="S27" s="26" t="s">
        <v>23</v>
      </c>
      <c r="T27" s="26" t="s">
        <v>94</v>
      </c>
      <c r="U27" s="25"/>
      <c r="V27" s="25" t="s">
        <v>95</v>
      </c>
      <c r="W27" s="26"/>
      <c r="X27" s="25"/>
      <c r="Y27" s="25"/>
      <c r="Z27" s="25" t="s">
        <v>17</v>
      </c>
    </row>
    <row r="28" spans="1:26" ht="13.2">
      <c r="A28" s="327"/>
      <c r="B28" s="305"/>
      <c r="C28" s="98" t="s">
        <v>132</v>
      </c>
      <c r="D28" s="57" t="s">
        <v>17</v>
      </c>
      <c r="E28" s="189" t="s">
        <v>17</v>
      </c>
      <c r="F28" s="213" t="s">
        <v>130</v>
      </c>
      <c r="G28" s="193" t="s">
        <v>430</v>
      </c>
      <c r="H28" s="242">
        <v>17</v>
      </c>
      <c r="I28" s="121">
        <v>1</v>
      </c>
      <c r="J28" s="121">
        <v>1</v>
      </c>
      <c r="K28" s="109">
        <v>1</v>
      </c>
      <c r="L28" s="109">
        <v>1</v>
      </c>
      <c r="M28" s="109">
        <v>4</v>
      </c>
      <c r="N28" s="109">
        <v>0</v>
      </c>
      <c r="O28" s="109">
        <v>5</v>
      </c>
      <c r="P28" s="109">
        <v>2</v>
      </c>
      <c r="Q28" s="112">
        <f t="shared" si="5"/>
        <v>2.1428571428571428</v>
      </c>
      <c r="R28" s="26" t="str">
        <f t="shared" si="4"/>
        <v>&lt;vul in&gt;</v>
      </c>
      <c r="S28" s="26" t="s">
        <v>23</v>
      </c>
      <c r="T28" s="26" t="s">
        <v>94</v>
      </c>
      <c r="U28" s="25"/>
      <c r="V28" s="25" t="s">
        <v>95</v>
      </c>
      <c r="W28" s="26"/>
      <c r="X28" s="25"/>
      <c r="Y28" s="25"/>
      <c r="Z28" s="25" t="s">
        <v>23</v>
      </c>
    </row>
    <row r="29" spans="1:26" ht="16.05" customHeight="1">
      <c r="A29" s="327"/>
      <c r="B29" s="305"/>
      <c r="C29" s="98" t="s">
        <v>133</v>
      </c>
      <c r="D29" s="57" t="s">
        <v>17</v>
      </c>
      <c r="E29" s="189" t="s">
        <v>17</v>
      </c>
      <c r="F29" s="212" t="s">
        <v>475</v>
      </c>
      <c r="G29" s="193" t="s">
        <v>428</v>
      </c>
      <c r="H29" s="242">
        <v>18</v>
      </c>
      <c r="I29" s="121">
        <v>1</v>
      </c>
      <c r="J29" s="121">
        <v>1</v>
      </c>
      <c r="K29" s="109">
        <v>1</v>
      </c>
      <c r="L29" s="109">
        <v>1</v>
      </c>
      <c r="M29" s="109">
        <v>2</v>
      </c>
      <c r="N29" s="109">
        <v>0</v>
      </c>
      <c r="O29" s="109">
        <v>3</v>
      </c>
      <c r="P29" s="109">
        <v>2</v>
      </c>
      <c r="Q29" s="112">
        <f t="shared" si="5"/>
        <v>1.5714285714285714</v>
      </c>
      <c r="R29" s="26" t="str">
        <f t="shared" si="4"/>
        <v>&lt;vul in&gt;</v>
      </c>
      <c r="S29" s="26" t="s">
        <v>23</v>
      </c>
      <c r="T29" s="26" t="s">
        <v>94</v>
      </c>
      <c r="U29" s="25"/>
      <c r="V29" s="25" t="s">
        <v>95</v>
      </c>
      <c r="W29" s="26" t="s">
        <v>96</v>
      </c>
      <c r="X29" s="25"/>
      <c r="Y29" s="25"/>
      <c r="Z29" s="25" t="s">
        <v>17</v>
      </c>
    </row>
    <row r="30" spans="1:26" ht="13.2">
      <c r="A30" s="327"/>
      <c r="B30" s="296" t="s">
        <v>134</v>
      </c>
      <c r="C30" s="98" t="s">
        <v>86</v>
      </c>
      <c r="D30" s="57" t="s">
        <v>17</v>
      </c>
      <c r="E30" s="189" t="s">
        <v>17</v>
      </c>
      <c r="F30" s="212" t="s">
        <v>475</v>
      </c>
      <c r="G30" s="193" t="s">
        <v>429</v>
      </c>
      <c r="H30" s="242">
        <v>41</v>
      </c>
      <c r="I30" s="121">
        <v>1</v>
      </c>
      <c r="J30" s="121">
        <v>1</v>
      </c>
      <c r="K30" s="109">
        <v>1</v>
      </c>
      <c r="L30" s="109">
        <v>1</v>
      </c>
      <c r="M30" s="109">
        <v>2</v>
      </c>
      <c r="N30" s="109">
        <v>0</v>
      </c>
      <c r="O30" s="109">
        <v>3</v>
      </c>
      <c r="P30" s="109">
        <v>2</v>
      </c>
      <c r="Q30" s="112">
        <f t="shared" si="5"/>
        <v>1.5714285714285714</v>
      </c>
      <c r="R30" s="26" t="str">
        <f t="shared" si="4"/>
        <v>&lt;vul in&gt;</v>
      </c>
      <c r="S30" s="26"/>
      <c r="T30" s="26"/>
      <c r="U30" s="25"/>
      <c r="V30" s="25" t="s">
        <v>95</v>
      </c>
      <c r="W30" s="26"/>
      <c r="X30" s="25"/>
      <c r="Y30" s="25"/>
      <c r="Z30" s="25" t="s">
        <v>17</v>
      </c>
    </row>
    <row r="31" spans="1:26" ht="13.2">
      <c r="A31" s="327"/>
      <c r="B31" s="328"/>
      <c r="C31" s="98" t="s">
        <v>135</v>
      </c>
      <c r="D31" s="57" t="s">
        <v>17</v>
      </c>
      <c r="E31" s="104" t="s">
        <v>17</v>
      </c>
      <c r="F31" s="213" t="s">
        <v>136</v>
      </c>
      <c r="G31" s="104" t="s">
        <v>431</v>
      </c>
      <c r="H31" s="240">
        <v>19</v>
      </c>
      <c r="I31" s="121">
        <v>1</v>
      </c>
      <c r="J31" s="109">
        <v>1</v>
      </c>
      <c r="K31" s="109">
        <v>1</v>
      </c>
      <c r="L31" s="109">
        <v>1</v>
      </c>
      <c r="M31" s="109">
        <v>2</v>
      </c>
      <c r="N31" s="109">
        <v>0</v>
      </c>
      <c r="O31" s="109">
        <v>3</v>
      </c>
      <c r="P31" s="109">
        <v>3</v>
      </c>
      <c r="Q31" s="112">
        <f t="shared" si="5"/>
        <v>1.7142857142857142</v>
      </c>
      <c r="R31" s="26" t="str">
        <f t="shared" si="4"/>
        <v>&lt;vul in&gt;</v>
      </c>
      <c r="S31" s="26" t="s">
        <v>38</v>
      </c>
      <c r="T31" s="26" t="s">
        <v>38</v>
      </c>
      <c r="U31" s="25" t="s">
        <v>138</v>
      </c>
      <c r="V31" s="25" t="s">
        <v>23</v>
      </c>
      <c r="W31" s="326" t="s">
        <v>139</v>
      </c>
      <c r="X31" s="25"/>
      <c r="Y31" s="25"/>
      <c r="Z31" s="25" t="s">
        <v>23</v>
      </c>
    </row>
    <row r="32" spans="1:26" ht="13.2">
      <c r="A32" s="327"/>
      <c r="B32" s="328"/>
      <c r="C32" s="296" t="s">
        <v>140</v>
      </c>
      <c r="D32" s="307" t="s">
        <v>17</v>
      </c>
      <c r="E32" s="104" t="s">
        <v>23</v>
      </c>
      <c r="F32" s="213" t="s">
        <v>141</v>
      </c>
      <c r="G32" s="193" t="s">
        <v>449</v>
      </c>
      <c r="H32" s="242">
        <v>20</v>
      </c>
      <c r="I32" s="121">
        <v>1</v>
      </c>
      <c r="J32" s="109">
        <v>1</v>
      </c>
      <c r="K32" s="109">
        <v>1</v>
      </c>
      <c r="L32" s="109">
        <v>1</v>
      </c>
      <c r="M32" s="109">
        <v>4</v>
      </c>
      <c r="N32" s="109">
        <v>0</v>
      </c>
      <c r="O32" s="109">
        <v>5</v>
      </c>
      <c r="P32" s="109">
        <v>3</v>
      </c>
      <c r="Q32" s="112">
        <f t="shared" si="5"/>
        <v>2.2857142857142856</v>
      </c>
      <c r="R32" s="26" t="str">
        <f t="shared" si="4"/>
        <v>&lt;vul in&gt;</v>
      </c>
      <c r="S32" s="26" t="s">
        <v>38</v>
      </c>
      <c r="T32" s="26" t="s">
        <v>38</v>
      </c>
      <c r="U32" s="25" t="s">
        <v>138</v>
      </c>
      <c r="V32" s="25" t="s">
        <v>95</v>
      </c>
      <c r="W32" s="326"/>
      <c r="X32" s="25"/>
      <c r="Y32" s="25"/>
      <c r="Z32" s="25" t="s">
        <v>23</v>
      </c>
    </row>
    <row r="33" spans="1:26" ht="13.2">
      <c r="A33" s="327"/>
      <c r="B33" s="328"/>
      <c r="C33" s="297"/>
      <c r="D33" s="309"/>
      <c r="E33" s="104" t="s">
        <v>17</v>
      </c>
      <c r="F33" s="213" t="s">
        <v>461</v>
      </c>
      <c r="G33" s="193" t="s">
        <v>502</v>
      </c>
      <c r="H33" s="242">
        <v>40</v>
      </c>
      <c r="I33" s="121">
        <v>1</v>
      </c>
      <c r="J33" s="109">
        <v>1</v>
      </c>
      <c r="K33" s="109">
        <v>1</v>
      </c>
      <c r="L33" s="109">
        <v>1</v>
      </c>
      <c r="M33" s="109">
        <v>2</v>
      </c>
      <c r="N33" s="109">
        <v>0</v>
      </c>
      <c r="O33" s="109">
        <v>2</v>
      </c>
      <c r="P33" s="109">
        <v>3</v>
      </c>
      <c r="Q33" s="112">
        <f t="shared" si="5"/>
        <v>1.5714285714285714</v>
      </c>
      <c r="R33" s="26"/>
      <c r="S33" s="26"/>
      <c r="T33" s="26"/>
      <c r="U33" s="25"/>
      <c r="V33" s="25"/>
      <c r="W33" s="326"/>
      <c r="X33" s="25"/>
      <c r="Y33" s="25"/>
      <c r="Z33" s="25"/>
    </row>
    <row r="34" spans="1:26" ht="13.2">
      <c r="A34" s="327"/>
      <c r="B34" s="328"/>
      <c r="C34" s="98" t="s">
        <v>142</v>
      </c>
      <c r="D34" s="57" t="s">
        <v>23</v>
      </c>
      <c r="E34" s="104" t="s">
        <v>23</v>
      </c>
      <c r="F34" s="213" t="str">
        <f>IF(D34="Nee","-","&lt;vul in&gt;")</f>
        <v>-</v>
      </c>
      <c r="G34" s="104"/>
      <c r="H34" s="240"/>
      <c r="I34" s="121"/>
      <c r="J34" s="109"/>
      <c r="K34" s="109"/>
      <c r="L34" s="109"/>
      <c r="M34" s="109"/>
      <c r="N34" s="109"/>
      <c r="O34" s="109"/>
      <c r="P34" s="109"/>
      <c r="Q34" s="112"/>
      <c r="R34" s="26" t="str">
        <f>IF(D34="Nee","-","&lt;vul in&gt;")</f>
        <v>-</v>
      </c>
      <c r="S34" s="26" t="s">
        <v>23</v>
      </c>
      <c r="T34" s="26" t="s">
        <v>94</v>
      </c>
      <c r="U34" s="25"/>
      <c r="V34" s="25" t="s">
        <v>23</v>
      </c>
      <c r="W34" s="326"/>
      <c r="X34" s="25"/>
      <c r="Y34" s="25"/>
      <c r="Z34" s="25" t="s">
        <v>23</v>
      </c>
    </row>
    <row r="35" spans="1:26" ht="13.2">
      <c r="A35" s="327"/>
      <c r="B35" s="328"/>
      <c r="C35" s="296" t="s">
        <v>143</v>
      </c>
      <c r="D35" s="57" t="s">
        <v>17</v>
      </c>
      <c r="E35" s="104" t="s">
        <v>17</v>
      </c>
      <c r="F35" s="213" t="s">
        <v>141</v>
      </c>
      <c r="G35" s="193" t="s">
        <v>449</v>
      </c>
      <c r="H35" s="242">
        <v>20</v>
      </c>
      <c r="I35" s="121">
        <v>1</v>
      </c>
      <c r="J35" s="109">
        <v>1</v>
      </c>
      <c r="K35" s="109">
        <v>1</v>
      </c>
      <c r="L35" s="109">
        <v>1</v>
      </c>
      <c r="M35" s="109">
        <v>4</v>
      </c>
      <c r="N35" s="109">
        <v>0</v>
      </c>
      <c r="O35" s="109">
        <v>5</v>
      </c>
      <c r="P35" s="109">
        <v>3</v>
      </c>
      <c r="Q35" s="112">
        <f t="shared" ref="Q35:Q40" si="6">SUM(I35:P35)/COUNTIF(I35:P35,"&gt;0")</f>
        <v>2.2857142857142856</v>
      </c>
      <c r="R35" s="26" t="str">
        <f>IF(D35="Nee","-","&lt;vul in&gt;")</f>
        <v>&lt;vul in&gt;</v>
      </c>
      <c r="S35" s="26" t="s">
        <v>38</v>
      </c>
      <c r="T35" s="26" t="s">
        <v>38</v>
      </c>
      <c r="U35" s="25" t="s">
        <v>138</v>
      </c>
      <c r="V35" s="25" t="s">
        <v>95</v>
      </c>
      <c r="W35" s="326"/>
      <c r="X35" s="25"/>
      <c r="Y35" s="25"/>
      <c r="Z35" s="25" t="s">
        <v>23</v>
      </c>
    </row>
    <row r="36" spans="1:26" ht="13.2">
      <c r="A36" s="327"/>
      <c r="B36" s="328"/>
      <c r="C36" s="297"/>
      <c r="D36" s="57" t="s">
        <v>23</v>
      </c>
      <c r="E36" s="104" t="s">
        <v>23</v>
      </c>
      <c r="F36" s="213" t="s">
        <v>461</v>
      </c>
      <c r="G36" s="193" t="s">
        <v>460</v>
      </c>
      <c r="H36" s="242"/>
      <c r="I36" s="121">
        <v>1</v>
      </c>
      <c r="J36" s="109">
        <v>2</v>
      </c>
      <c r="K36" s="109">
        <v>1</v>
      </c>
      <c r="L36" s="109">
        <v>1</v>
      </c>
      <c r="M36" s="109">
        <v>2</v>
      </c>
      <c r="N36" s="109">
        <v>0</v>
      </c>
      <c r="O36" s="109">
        <v>2</v>
      </c>
      <c r="P36" s="109">
        <v>3</v>
      </c>
      <c r="Q36" s="112">
        <f>SUM(I36:P36)/COUNTIF(I36:P36,"&gt;0")</f>
        <v>1.7142857142857142</v>
      </c>
      <c r="R36" s="26"/>
      <c r="S36" s="26"/>
      <c r="T36" s="26"/>
      <c r="U36" s="25"/>
      <c r="V36" s="25"/>
      <c r="W36" s="326"/>
      <c r="X36" s="25"/>
      <c r="Y36" s="25"/>
      <c r="Z36" s="25"/>
    </row>
    <row r="37" spans="1:26" ht="13.2">
      <c r="A37" s="327"/>
      <c r="B37" s="328"/>
      <c r="C37" s="296" t="s">
        <v>144</v>
      </c>
      <c r="D37" s="307" t="s">
        <v>17</v>
      </c>
      <c r="E37" s="104" t="s">
        <v>23</v>
      </c>
      <c r="F37" s="213" t="s">
        <v>141</v>
      </c>
      <c r="G37" s="193" t="s">
        <v>430</v>
      </c>
      <c r="H37" s="242"/>
      <c r="I37" s="121">
        <v>1</v>
      </c>
      <c r="J37" s="109">
        <v>1</v>
      </c>
      <c r="K37" s="109">
        <v>1</v>
      </c>
      <c r="L37" s="109">
        <v>1</v>
      </c>
      <c r="M37" s="109">
        <v>4</v>
      </c>
      <c r="N37" s="109">
        <v>0</v>
      </c>
      <c r="O37" s="109">
        <v>5</v>
      </c>
      <c r="P37" s="109">
        <v>4</v>
      </c>
      <c r="Q37" s="112">
        <f t="shared" si="6"/>
        <v>2.4285714285714284</v>
      </c>
      <c r="R37" s="26" t="str">
        <f>IF(D37="Nee","-","&lt;vul in&gt;")</f>
        <v>&lt;vul in&gt;</v>
      </c>
      <c r="S37" s="26" t="s">
        <v>38</v>
      </c>
      <c r="T37" s="26" t="s">
        <v>38</v>
      </c>
      <c r="U37" s="25" t="s">
        <v>138</v>
      </c>
      <c r="V37" s="25" t="s">
        <v>95</v>
      </c>
      <c r="W37" s="326"/>
      <c r="X37" s="25"/>
      <c r="Y37" s="25"/>
      <c r="Z37" s="25" t="s">
        <v>23</v>
      </c>
    </row>
    <row r="38" spans="1:26" ht="13.2">
      <c r="A38" s="327"/>
      <c r="B38" s="328"/>
      <c r="C38" s="328"/>
      <c r="D38" s="308"/>
      <c r="E38" s="104" t="s">
        <v>23</v>
      </c>
      <c r="F38" s="226" t="s">
        <v>464</v>
      </c>
      <c r="G38" s="193" t="s">
        <v>460</v>
      </c>
      <c r="H38" s="242"/>
      <c r="I38" s="121">
        <v>1</v>
      </c>
      <c r="J38" s="109">
        <v>4</v>
      </c>
      <c r="K38" s="109">
        <v>1</v>
      </c>
      <c r="L38" s="109">
        <v>1</v>
      </c>
      <c r="M38" s="109">
        <v>2</v>
      </c>
      <c r="N38" s="109">
        <v>0</v>
      </c>
      <c r="O38" s="109">
        <v>2</v>
      </c>
      <c r="P38" s="109">
        <v>2</v>
      </c>
      <c r="Q38" s="112">
        <f>SUM(I38:P38)/COUNTIF(I38:P38,"&gt;0")</f>
        <v>1.8571428571428572</v>
      </c>
      <c r="R38" s="26"/>
      <c r="S38" s="26"/>
      <c r="T38" s="26"/>
      <c r="U38" s="25"/>
      <c r="V38" s="25"/>
      <c r="W38" s="197"/>
      <c r="X38" s="25"/>
      <c r="Y38" s="25"/>
      <c r="Z38" s="25"/>
    </row>
    <row r="39" spans="1:26" ht="13.2">
      <c r="A39" s="327"/>
      <c r="B39" s="297"/>
      <c r="C39" s="297"/>
      <c r="D39" s="309"/>
      <c r="E39" s="104" t="s">
        <v>17</v>
      </c>
      <c r="F39" s="213" t="s">
        <v>475</v>
      </c>
      <c r="G39" s="193" t="s">
        <v>429</v>
      </c>
      <c r="H39" s="242">
        <v>21</v>
      </c>
      <c r="I39" s="121">
        <v>1</v>
      </c>
      <c r="J39" s="109">
        <v>1</v>
      </c>
      <c r="K39" s="109">
        <v>1</v>
      </c>
      <c r="L39" s="109">
        <v>1</v>
      </c>
      <c r="M39" s="109">
        <v>2</v>
      </c>
      <c r="N39" s="109">
        <v>0</v>
      </c>
      <c r="O39" s="109">
        <v>3</v>
      </c>
      <c r="P39" s="109">
        <v>3</v>
      </c>
      <c r="Q39" s="112">
        <f>SUM(I39:P39)/COUNTIF(I39:P39,"&gt;0")</f>
        <v>1.7142857142857142</v>
      </c>
      <c r="R39" s="26"/>
      <c r="S39" s="26"/>
      <c r="T39" s="26"/>
      <c r="U39" s="25"/>
      <c r="V39" s="25"/>
      <c r="W39" s="197"/>
      <c r="X39" s="25"/>
      <c r="Y39" s="25"/>
      <c r="Z39" s="25"/>
    </row>
    <row r="40" spans="1:26" ht="13.2">
      <c r="A40" s="327"/>
      <c r="B40" s="296" t="s">
        <v>145</v>
      </c>
      <c r="C40" s="98" t="s">
        <v>146</v>
      </c>
      <c r="D40" s="57" t="s">
        <v>23</v>
      </c>
      <c r="E40" s="104" t="s">
        <v>23</v>
      </c>
      <c r="F40" s="213" t="s">
        <v>147</v>
      </c>
      <c r="G40" s="193" t="s">
        <v>430</v>
      </c>
      <c r="H40" s="242"/>
      <c r="I40" s="121">
        <v>1</v>
      </c>
      <c r="J40" s="109">
        <v>1</v>
      </c>
      <c r="K40" s="109">
        <v>1</v>
      </c>
      <c r="L40" s="109">
        <v>1</v>
      </c>
      <c r="M40" s="109">
        <v>4</v>
      </c>
      <c r="N40" s="109">
        <v>0</v>
      </c>
      <c r="O40" s="109">
        <v>5</v>
      </c>
      <c r="P40" s="109">
        <v>5</v>
      </c>
      <c r="Q40" s="112">
        <f t="shared" si="6"/>
        <v>2.5714285714285716</v>
      </c>
      <c r="R40" s="26" t="str">
        <f>IF(D40="Nee","-","&lt;vul in&gt;")</f>
        <v>-</v>
      </c>
      <c r="S40" s="26" t="s">
        <v>38</v>
      </c>
      <c r="T40" s="26" t="s">
        <v>38</v>
      </c>
      <c r="U40" s="25" t="s">
        <v>138</v>
      </c>
      <c r="V40" s="25" t="s">
        <v>95</v>
      </c>
      <c r="W40" s="26"/>
      <c r="X40" s="25"/>
      <c r="Y40" s="25"/>
      <c r="Z40" s="25" t="s">
        <v>23</v>
      </c>
    </row>
    <row r="41" spans="1:26" ht="13.2">
      <c r="A41" s="327"/>
      <c r="B41" s="328"/>
      <c r="C41" s="296" t="s">
        <v>462</v>
      </c>
      <c r="D41" s="57" t="s">
        <v>17</v>
      </c>
      <c r="E41" s="104" t="s">
        <v>17</v>
      </c>
      <c r="F41" s="213" t="s">
        <v>465</v>
      </c>
      <c r="G41" s="170" t="s">
        <v>430</v>
      </c>
      <c r="H41" s="247">
        <v>22</v>
      </c>
      <c r="I41" s="121">
        <v>1</v>
      </c>
      <c r="J41" s="109">
        <v>1</v>
      </c>
      <c r="K41" s="109">
        <v>1</v>
      </c>
      <c r="L41" s="109">
        <v>2</v>
      </c>
      <c r="M41" s="109">
        <v>4</v>
      </c>
      <c r="N41" s="109">
        <v>0</v>
      </c>
      <c r="O41" s="109">
        <v>5</v>
      </c>
      <c r="P41" s="109">
        <v>2</v>
      </c>
      <c r="Q41" s="112">
        <f>SUM(I41:P41)/COUNTIF(I41:P41,"&gt;0")</f>
        <v>2.2857142857142856</v>
      </c>
      <c r="R41" s="26"/>
      <c r="S41" s="26"/>
      <c r="T41" s="26"/>
      <c r="U41" s="25"/>
      <c r="V41" s="25"/>
      <c r="W41" s="26"/>
      <c r="X41" s="25"/>
      <c r="Y41" s="25"/>
      <c r="Z41" s="25"/>
    </row>
    <row r="42" spans="1:26" ht="13.2">
      <c r="A42" s="327"/>
      <c r="B42" s="328"/>
      <c r="C42" s="297"/>
      <c r="D42" s="57" t="s">
        <v>125</v>
      </c>
      <c r="E42" s="104" t="s">
        <v>23</v>
      </c>
      <c r="F42" s="213" t="s">
        <v>520</v>
      </c>
      <c r="G42" s="263" t="s">
        <v>519</v>
      </c>
      <c r="H42" s="289"/>
      <c r="I42" s="238"/>
      <c r="J42" s="109"/>
      <c r="K42" s="109"/>
      <c r="L42" s="109"/>
      <c r="M42" s="109"/>
      <c r="N42" s="109"/>
      <c r="O42" s="109"/>
      <c r="P42" s="109"/>
      <c r="Q42" s="112"/>
      <c r="R42" s="26"/>
      <c r="S42" s="26"/>
      <c r="T42" s="26"/>
      <c r="U42" s="25"/>
      <c r="V42" s="25"/>
      <c r="W42" s="26"/>
      <c r="X42" s="25"/>
      <c r="Y42" s="25"/>
      <c r="Z42" s="25"/>
    </row>
    <row r="43" spans="1:26" ht="13.2">
      <c r="A43" s="327"/>
      <c r="B43" s="328"/>
      <c r="C43" s="311" t="s">
        <v>518</v>
      </c>
      <c r="D43" s="313" t="s">
        <v>17</v>
      </c>
      <c r="E43" s="104" t="s">
        <v>17</v>
      </c>
      <c r="F43" s="213" t="s">
        <v>529</v>
      </c>
      <c r="G43" s="193" t="s">
        <v>530</v>
      </c>
      <c r="H43" s="290">
        <v>42</v>
      </c>
      <c r="I43" s="232">
        <v>1</v>
      </c>
      <c r="J43" s="218">
        <v>1</v>
      </c>
      <c r="K43" s="218">
        <v>1</v>
      </c>
      <c r="L43" s="218">
        <v>1</v>
      </c>
      <c r="M43" s="218">
        <v>4</v>
      </c>
      <c r="N43" s="218">
        <v>0</v>
      </c>
      <c r="O43" s="218">
        <v>5</v>
      </c>
      <c r="P43" s="218">
        <v>2</v>
      </c>
      <c r="Q43" s="112">
        <f>SUM(I43:P43)/COUNTIF(I43:P43,"&gt;0")</f>
        <v>2.1428571428571428</v>
      </c>
      <c r="R43" s="26"/>
      <c r="S43" s="26"/>
      <c r="T43" s="26"/>
      <c r="U43" s="25"/>
      <c r="V43" s="25"/>
      <c r="W43" s="26"/>
      <c r="X43" s="25"/>
      <c r="Y43" s="25"/>
      <c r="Z43" s="25"/>
    </row>
    <row r="44" spans="1:26" ht="13.2">
      <c r="A44" s="327"/>
      <c r="B44" s="297"/>
      <c r="C44" s="312"/>
      <c r="D44" s="314"/>
      <c r="E44" s="104" t="s">
        <v>23</v>
      </c>
      <c r="F44" s="216" t="s">
        <v>531</v>
      </c>
      <c r="G44" s="193" t="s">
        <v>532</v>
      </c>
      <c r="H44" s="290"/>
      <c r="I44" s="232">
        <v>1</v>
      </c>
      <c r="J44" s="218">
        <v>1</v>
      </c>
      <c r="K44" s="218">
        <v>1</v>
      </c>
      <c r="L44" s="218">
        <v>1</v>
      </c>
      <c r="M44" s="218">
        <v>4</v>
      </c>
      <c r="N44" s="218">
        <v>0</v>
      </c>
      <c r="O44" s="218">
        <v>5</v>
      </c>
      <c r="P44" s="218">
        <v>2</v>
      </c>
      <c r="Q44" s="112">
        <f>SUM(I44:P44)/COUNTIF(I44:P44,"&gt;0")</f>
        <v>2.1428571428571428</v>
      </c>
      <c r="R44" s="26"/>
      <c r="S44" s="26"/>
      <c r="T44" s="26"/>
      <c r="U44" s="25"/>
      <c r="V44" s="25"/>
      <c r="W44" s="26"/>
      <c r="X44" s="25"/>
      <c r="Y44" s="25"/>
      <c r="Z44" s="25"/>
    </row>
    <row r="45" spans="1:26" ht="92.4">
      <c r="A45" s="327"/>
      <c r="B45" s="33" t="s">
        <v>148</v>
      </c>
      <c r="C45" s="98" t="s">
        <v>149</v>
      </c>
      <c r="D45" s="57" t="s">
        <v>23</v>
      </c>
      <c r="E45" s="104"/>
      <c r="F45" s="262" t="str">
        <f t="shared" ref="F45" si="7">IF(D45="Nee","-","&lt;vul in&gt;")</f>
        <v>-</v>
      </c>
      <c r="G45" s="192"/>
      <c r="H45" s="248"/>
      <c r="I45" s="238"/>
      <c r="J45" s="109"/>
      <c r="K45" s="109"/>
      <c r="L45" s="109"/>
      <c r="M45" s="109"/>
      <c r="N45" s="109"/>
      <c r="O45" s="109"/>
      <c r="P45" s="109"/>
      <c r="Q45" s="112"/>
      <c r="R45" s="26" t="str">
        <f t="shared" ref="R45:R76" si="8">IF(D45="Nee","-","&lt;vul in&gt;")</f>
        <v>-</v>
      </c>
      <c r="S45" s="26" t="s">
        <v>23</v>
      </c>
      <c r="T45" s="26" t="s">
        <v>94</v>
      </c>
      <c r="U45" s="25"/>
      <c r="V45" s="25" t="s">
        <v>95</v>
      </c>
      <c r="W45" s="26" t="s">
        <v>150</v>
      </c>
      <c r="X45" s="25" t="s">
        <v>151</v>
      </c>
      <c r="Y45" s="25"/>
      <c r="Z45" s="25" t="s">
        <v>23</v>
      </c>
    </row>
    <row r="46" spans="1:26" ht="12.45" customHeight="1">
      <c r="A46" s="293" t="s">
        <v>408</v>
      </c>
      <c r="B46" s="300" t="s">
        <v>90</v>
      </c>
      <c r="C46" s="296" t="s">
        <v>86</v>
      </c>
      <c r="D46" s="298" t="s">
        <v>17</v>
      </c>
      <c r="E46" s="285" t="s">
        <v>23</v>
      </c>
      <c r="F46" s="264" t="s">
        <v>517</v>
      </c>
      <c r="G46" s="105"/>
      <c r="H46" s="287"/>
      <c r="I46" s="121"/>
      <c r="J46" s="109"/>
      <c r="K46" s="109"/>
      <c r="L46" s="109"/>
      <c r="M46" s="109"/>
      <c r="N46" s="109"/>
      <c r="O46" s="109"/>
      <c r="P46" s="109"/>
      <c r="Q46" s="112"/>
      <c r="R46" s="26" t="str">
        <f t="shared" si="8"/>
        <v>&lt;vul in&gt;</v>
      </c>
      <c r="S46" s="26"/>
      <c r="T46" s="26"/>
      <c r="U46" s="25"/>
      <c r="V46" s="25" t="s">
        <v>95</v>
      </c>
      <c r="W46" s="26"/>
      <c r="X46" s="25"/>
      <c r="Y46" s="25"/>
      <c r="Z46" s="25" t="s">
        <v>17</v>
      </c>
    </row>
    <row r="47" spans="1:26" ht="12.45" customHeight="1">
      <c r="A47" s="294"/>
      <c r="B47" s="303"/>
      <c r="C47" s="297"/>
      <c r="D47" s="299"/>
      <c r="E47" s="285" t="s">
        <v>17</v>
      </c>
      <c r="F47" s="264" t="s">
        <v>476</v>
      </c>
      <c r="G47" s="239" t="s">
        <v>509</v>
      </c>
      <c r="H47" s="287"/>
      <c r="I47" s="109">
        <v>1</v>
      </c>
      <c r="J47" s="109">
        <v>1</v>
      </c>
      <c r="K47" s="109">
        <v>1</v>
      </c>
      <c r="L47" s="109">
        <v>3</v>
      </c>
      <c r="M47" s="109"/>
      <c r="N47" s="109"/>
      <c r="O47" s="109"/>
      <c r="P47" s="109"/>
      <c r="Q47" s="112"/>
      <c r="R47" s="26"/>
      <c r="S47" s="26"/>
      <c r="T47" s="26"/>
      <c r="U47" s="25"/>
      <c r="V47" s="25"/>
      <c r="W47" s="26"/>
      <c r="X47" s="25"/>
      <c r="Y47" s="25"/>
      <c r="Z47" s="25"/>
    </row>
    <row r="48" spans="1:26" ht="13.2">
      <c r="A48" s="294"/>
      <c r="B48" s="305" t="s">
        <v>97</v>
      </c>
      <c r="C48" s="98" t="s">
        <v>98</v>
      </c>
      <c r="D48" s="188" t="s">
        <v>17</v>
      </c>
      <c r="E48" s="285" t="s">
        <v>17</v>
      </c>
      <c r="F48" s="264" t="s">
        <v>476</v>
      </c>
      <c r="G48" s="239" t="s">
        <v>510</v>
      </c>
      <c r="H48" s="287"/>
      <c r="I48" s="109">
        <v>1</v>
      </c>
      <c r="J48" s="109">
        <v>1</v>
      </c>
      <c r="K48" s="109">
        <v>1</v>
      </c>
      <c r="L48" s="109">
        <v>3</v>
      </c>
      <c r="M48" s="109"/>
      <c r="N48" s="109"/>
      <c r="O48" s="109"/>
      <c r="P48" s="109"/>
      <c r="Q48" s="112"/>
      <c r="R48" s="26" t="str">
        <f t="shared" si="8"/>
        <v>&lt;vul in&gt;</v>
      </c>
      <c r="S48" s="26"/>
      <c r="T48" s="26"/>
      <c r="U48" s="25"/>
      <c r="V48" s="25" t="s">
        <v>18</v>
      </c>
      <c r="W48" s="26"/>
      <c r="X48" s="25"/>
      <c r="Y48" s="25"/>
      <c r="Z48" s="25" t="s">
        <v>23</v>
      </c>
    </row>
    <row r="49" spans="1:26" ht="13.2">
      <c r="A49" s="294"/>
      <c r="B49" s="305"/>
      <c r="C49" s="98" t="s">
        <v>100</v>
      </c>
      <c r="D49" s="188" t="s">
        <v>17</v>
      </c>
      <c r="E49" s="285" t="s">
        <v>17</v>
      </c>
      <c r="F49" s="264" t="s">
        <v>476</v>
      </c>
      <c r="G49" s="239" t="s">
        <v>511</v>
      </c>
      <c r="H49" s="287"/>
      <c r="I49" s="109">
        <v>1</v>
      </c>
      <c r="J49" s="109">
        <v>1</v>
      </c>
      <c r="K49" s="109">
        <v>1</v>
      </c>
      <c r="L49" s="109">
        <v>3</v>
      </c>
      <c r="M49" s="109"/>
      <c r="N49" s="109"/>
      <c r="O49" s="109"/>
      <c r="P49" s="109"/>
      <c r="Q49" s="112"/>
      <c r="R49" s="26" t="str">
        <f t="shared" si="8"/>
        <v>&lt;vul in&gt;</v>
      </c>
      <c r="S49" s="26"/>
      <c r="T49" s="26"/>
      <c r="U49" s="25"/>
      <c r="V49" s="25" t="s">
        <v>18</v>
      </c>
      <c r="W49" s="26"/>
      <c r="X49" s="25"/>
      <c r="Y49" s="25"/>
      <c r="Z49" s="25" t="s">
        <v>23</v>
      </c>
    </row>
    <row r="50" spans="1:26" ht="13.2">
      <c r="A50" s="294"/>
      <c r="B50" s="305"/>
      <c r="C50" s="98" t="s">
        <v>101</v>
      </c>
      <c r="D50" s="188" t="s">
        <v>17</v>
      </c>
      <c r="E50" s="285" t="s">
        <v>17</v>
      </c>
      <c r="F50" s="264" t="s">
        <v>476</v>
      </c>
      <c r="G50" s="239" t="s">
        <v>512</v>
      </c>
      <c r="H50" s="287"/>
      <c r="I50" s="109">
        <v>1</v>
      </c>
      <c r="J50" s="109">
        <v>1</v>
      </c>
      <c r="K50" s="109">
        <v>1</v>
      </c>
      <c r="L50" s="109">
        <v>3</v>
      </c>
      <c r="M50" s="109"/>
      <c r="N50" s="109"/>
      <c r="O50" s="109"/>
      <c r="P50" s="109"/>
      <c r="Q50" s="112"/>
      <c r="R50" s="26" t="str">
        <f t="shared" si="8"/>
        <v>&lt;vul in&gt;</v>
      </c>
      <c r="S50" s="26"/>
      <c r="T50" s="26"/>
      <c r="U50" s="25"/>
      <c r="V50" s="25" t="s">
        <v>18</v>
      </c>
      <c r="W50" s="26"/>
      <c r="X50" s="25"/>
      <c r="Y50" s="25"/>
      <c r="Z50" s="25" t="s">
        <v>23</v>
      </c>
    </row>
    <row r="51" spans="1:26" ht="13.2">
      <c r="A51" s="294"/>
      <c r="B51" s="305"/>
      <c r="C51" s="98" t="s">
        <v>102</v>
      </c>
      <c r="D51" s="188" t="s">
        <v>23</v>
      </c>
      <c r="E51" s="285" t="s">
        <v>23</v>
      </c>
      <c r="F51" s="264"/>
      <c r="G51" s="239"/>
      <c r="H51" s="287"/>
      <c r="I51" s="109">
        <v>1</v>
      </c>
      <c r="J51" s="109">
        <v>1</v>
      </c>
      <c r="K51" s="109">
        <v>1</v>
      </c>
      <c r="L51" s="109">
        <v>3</v>
      </c>
      <c r="M51" s="109"/>
      <c r="N51" s="109"/>
      <c r="O51" s="109"/>
      <c r="P51" s="109"/>
      <c r="Q51" s="112"/>
      <c r="R51" s="26" t="str">
        <f t="shared" si="8"/>
        <v>-</v>
      </c>
      <c r="S51" s="26"/>
      <c r="T51" s="26"/>
      <c r="U51" s="25"/>
      <c r="V51" s="25" t="s">
        <v>18</v>
      </c>
      <c r="W51" s="26"/>
      <c r="X51" s="25"/>
      <c r="Y51" s="25"/>
      <c r="Z51" s="25" t="s">
        <v>23</v>
      </c>
    </row>
    <row r="52" spans="1:26" ht="26.4">
      <c r="A52" s="294"/>
      <c r="B52" s="300" t="s">
        <v>103</v>
      </c>
      <c r="C52" s="296" t="s">
        <v>104</v>
      </c>
      <c r="D52" s="298" t="s">
        <v>17</v>
      </c>
      <c r="E52" s="285" t="s">
        <v>23</v>
      </c>
      <c r="F52" s="264" t="s">
        <v>517</v>
      </c>
      <c r="G52" s="239"/>
      <c r="H52" s="287"/>
      <c r="I52" s="121"/>
      <c r="J52" s="109"/>
      <c r="K52" s="109"/>
      <c r="L52" s="109"/>
      <c r="M52" s="109"/>
      <c r="N52" s="109"/>
      <c r="O52" s="109"/>
      <c r="P52" s="109"/>
      <c r="Q52" s="112"/>
      <c r="R52" s="26" t="str">
        <f t="shared" si="8"/>
        <v>&lt;vul in&gt;</v>
      </c>
      <c r="S52" s="26"/>
      <c r="T52" s="26"/>
      <c r="U52" s="25"/>
      <c r="V52" s="25"/>
      <c r="W52" s="26"/>
      <c r="X52" s="25"/>
      <c r="Y52" s="25"/>
      <c r="Z52" s="25"/>
    </row>
    <row r="53" spans="1:26" ht="13.2">
      <c r="A53" s="294"/>
      <c r="B53" s="301"/>
      <c r="C53" s="297"/>
      <c r="D53" s="299"/>
      <c r="E53" s="285" t="s">
        <v>17</v>
      </c>
      <c r="F53" s="264" t="s">
        <v>476</v>
      </c>
      <c r="G53" s="239" t="s">
        <v>513</v>
      </c>
      <c r="H53" s="287"/>
      <c r="I53" s="109">
        <v>1</v>
      </c>
      <c r="J53" s="109">
        <v>1</v>
      </c>
      <c r="K53" s="109">
        <v>1</v>
      </c>
      <c r="L53" s="109">
        <v>3</v>
      </c>
      <c r="M53" s="109"/>
      <c r="N53" s="109"/>
      <c r="O53" s="109"/>
      <c r="P53" s="109"/>
      <c r="Q53" s="112"/>
      <c r="R53" s="26" t="str">
        <f t="shared" si="8"/>
        <v>&lt;vul in&gt;</v>
      </c>
      <c r="S53" s="26"/>
      <c r="T53" s="26"/>
      <c r="U53" s="25"/>
      <c r="V53" s="25" t="s">
        <v>95</v>
      </c>
      <c r="W53" s="26"/>
      <c r="X53" s="25"/>
      <c r="Y53" s="25"/>
      <c r="Z53" s="25" t="s">
        <v>23</v>
      </c>
    </row>
    <row r="54" spans="1:26" ht="25.05" customHeight="1">
      <c r="A54" s="294"/>
      <c r="B54" s="301"/>
      <c r="C54" s="296" t="s">
        <v>109</v>
      </c>
      <c r="D54" s="298" t="s">
        <v>17</v>
      </c>
      <c r="E54" s="285" t="s">
        <v>23</v>
      </c>
      <c r="F54" s="264" t="s">
        <v>517</v>
      </c>
      <c r="G54" s="105"/>
      <c r="H54" s="287"/>
      <c r="I54" s="121"/>
      <c r="J54" s="109"/>
      <c r="K54" s="109"/>
      <c r="L54" s="109"/>
      <c r="M54" s="109"/>
      <c r="N54" s="109"/>
      <c r="O54" s="109"/>
      <c r="P54" s="109"/>
      <c r="Q54" s="112"/>
      <c r="R54" s="26" t="str">
        <f>IF(D54="Nee","-","&lt;vul in&gt;")</f>
        <v>&lt;vul in&gt;</v>
      </c>
      <c r="S54" s="26"/>
      <c r="T54" s="26"/>
      <c r="U54" s="25"/>
      <c r="V54" s="25" t="s">
        <v>95</v>
      </c>
      <c r="W54" s="26"/>
      <c r="X54" s="25"/>
      <c r="Y54" s="25"/>
      <c r="Z54" s="25" t="s">
        <v>23</v>
      </c>
    </row>
    <row r="55" spans="1:26" ht="13.2">
      <c r="A55" s="294"/>
      <c r="B55" s="301"/>
      <c r="C55" s="297"/>
      <c r="D55" s="299"/>
      <c r="E55" s="285" t="s">
        <v>17</v>
      </c>
      <c r="F55" s="264" t="s">
        <v>476</v>
      </c>
      <c r="G55" s="239" t="s">
        <v>514</v>
      </c>
      <c r="H55" s="288"/>
      <c r="I55" s="109">
        <v>1</v>
      </c>
      <c r="J55" s="109">
        <v>1</v>
      </c>
      <c r="K55" s="109">
        <v>1</v>
      </c>
      <c r="L55" s="109">
        <v>3</v>
      </c>
      <c r="M55" s="178"/>
      <c r="N55" s="178"/>
      <c r="O55" s="178"/>
      <c r="P55" s="178"/>
      <c r="Q55" s="112"/>
      <c r="R55" s="26"/>
      <c r="S55" s="26"/>
      <c r="T55" s="26"/>
      <c r="U55" s="25"/>
      <c r="V55" s="25"/>
      <c r="W55" s="26"/>
      <c r="X55" s="25"/>
      <c r="Y55" s="25"/>
      <c r="Z55" s="25"/>
    </row>
    <row r="56" spans="1:26" ht="26.4">
      <c r="A56" s="294"/>
      <c r="B56" s="301"/>
      <c r="C56" s="296" t="s">
        <v>110</v>
      </c>
      <c r="D56" s="298" t="s">
        <v>17</v>
      </c>
      <c r="E56" s="285" t="s">
        <v>23</v>
      </c>
      <c r="F56" s="264" t="s">
        <v>517</v>
      </c>
      <c r="G56" s="239"/>
      <c r="H56" s="288"/>
      <c r="I56" s="237"/>
      <c r="J56" s="178"/>
      <c r="K56" s="178"/>
      <c r="L56" s="178"/>
      <c r="M56" s="178"/>
      <c r="N56" s="178"/>
      <c r="O56" s="178"/>
      <c r="P56" s="178"/>
      <c r="Q56" s="112"/>
      <c r="R56" s="26" t="str">
        <f t="shared" si="8"/>
        <v>&lt;vul in&gt;</v>
      </c>
      <c r="S56" s="26"/>
      <c r="T56" s="26"/>
      <c r="U56" s="25"/>
      <c r="V56" s="25" t="s">
        <v>95</v>
      </c>
      <c r="W56" s="26"/>
      <c r="X56" s="25"/>
      <c r="Y56" s="25"/>
      <c r="Z56" s="25" t="s">
        <v>23</v>
      </c>
    </row>
    <row r="57" spans="1:26" ht="13.2">
      <c r="A57" s="294"/>
      <c r="B57" s="301"/>
      <c r="C57" s="297"/>
      <c r="D57" s="299"/>
      <c r="E57" s="286" t="s">
        <v>17</v>
      </c>
      <c r="F57" s="264" t="s">
        <v>476</v>
      </c>
      <c r="G57" s="239" t="s">
        <v>515</v>
      </c>
      <c r="H57" s="288"/>
      <c r="I57" s="109">
        <v>1</v>
      </c>
      <c r="J57" s="109">
        <v>1</v>
      </c>
      <c r="K57" s="109">
        <v>1</v>
      </c>
      <c r="L57" s="109">
        <v>3</v>
      </c>
      <c r="M57" s="178"/>
      <c r="N57" s="178"/>
      <c r="O57" s="178"/>
      <c r="P57" s="178"/>
      <c r="Q57" s="112"/>
      <c r="R57" s="26" t="str">
        <f t="shared" si="8"/>
        <v>&lt;vul in&gt;</v>
      </c>
      <c r="S57" s="26"/>
      <c r="T57" s="26"/>
      <c r="U57" s="25"/>
      <c r="V57" s="25"/>
      <c r="W57" s="26"/>
      <c r="X57" s="25"/>
      <c r="Y57" s="25"/>
      <c r="Z57" s="25"/>
    </row>
    <row r="58" spans="1:26" ht="13.2">
      <c r="A58" s="294"/>
      <c r="B58" s="301"/>
      <c r="C58" s="291" t="s">
        <v>533</v>
      </c>
      <c r="D58" s="292" t="s">
        <v>17</v>
      </c>
      <c r="E58" s="286" t="s">
        <v>17</v>
      </c>
      <c r="F58" s="264"/>
      <c r="G58" s="239"/>
      <c r="H58" s="288"/>
      <c r="I58" s="109"/>
      <c r="J58" s="109"/>
      <c r="K58" s="109"/>
      <c r="L58" s="109"/>
      <c r="M58" s="178"/>
      <c r="N58" s="178"/>
      <c r="O58" s="178"/>
      <c r="P58" s="178"/>
      <c r="Q58" s="112"/>
      <c r="R58" s="26"/>
      <c r="S58" s="26"/>
      <c r="T58" s="26"/>
      <c r="U58" s="25"/>
      <c r="V58" s="25"/>
      <c r="W58" s="26"/>
      <c r="X58" s="25"/>
      <c r="Y58" s="25"/>
      <c r="Z58" s="25"/>
    </row>
    <row r="59" spans="1:26" ht="13.2">
      <c r="A59" s="294"/>
      <c r="B59" s="301"/>
      <c r="C59" s="291"/>
      <c r="D59" s="292"/>
      <c r="E59" s="286"/>
      <c r="F59" s="264"/>
      <c r="G59" s="239"/>
      <c r="H59" s="288"/>
      <c r="I59" s="109"/>
      <c r="J59" s="109"/>
      <c r="K59" s="109"/>
      <c r="L59" s="109"/>
      <c r="M59" s="178"/>
      <c r="N59" s="178"/>
      <c r="O59" s="178"/>
      <c r="P59" s="178"/>
      <c r="Q59" s="112"/>
      <c r="R59" s="26"/>
      <c r="S59" s="26"/>
      <c r="T59" s="26"/>
      <c r="U59" s="25"/>
      <c r="V59" s="25"/>
      <c r="W59" s="26"/>
      <c r="X59" s="25"/>
      <c r="Y59" s="25"/>
      <c r="Z59" s="25"/>
    </row>
    <row r="60" spans="1:26" ht="13.2">
      <c r="A60" s="294"/>
      <c r="B60" s="302"/>
      <c r="C60" s="183" t="s">
        <v>111</v>
      </c>
      <c r="D60" s="269" t="s">
        <v>17</v>
      </c>
      <c r="E60" s="286" t="s">
        <v>17</v>
      </c>
      <c r="F60" s="264" t="s">
        <v>476</v>
      </c>
      <c r="G60" s="239" t="s">
        <v>516</v>
      </c>
      <c r="H60" s="288"/>
      <c r="I60" s="109">
        <v>1</v>
      </c>
      <c r="J60" s="109">
        <v>1</v>
      </c>
      <c r="K60" s="109">
        <v>1</v>
      </c>
      <c r="L60" s="109">
        <v>3</v>
      </c>
      <c r="M60" s="178"/>
      <c r="N60" s="178"/>
      <c r="O60" s="178"/>
      <c r="P60" s="178"/>
      <c r="Q60" s="112"/>
      <c r="R60" s="26" t="str">
        <f t="shared" si="8"/>
        <v>&lt;vul in&gt;</v>
      </c>
      <c r="S60" s="26"/>
      <c r="T60" s="26"/>
      <c r="U60" s="25"/>
      <c r="V60" s="25" t="s">
        <v>18</v>
      </c>
      <c r="W60" s="26"/>
      <c r="X60" s="25"/>
      <c r="Y60" s="25"/>
      <c r="Z60" s="25" t="s">
        <v>23</v>
      </c>
    </row>
    <row r="61" spans="1:26" ht="13.95" customHeight="1">
      <c r="A61" s="294"/>
      <c r="B61" s="306" t="s">
        <v>112</v>
      </c>
      <c r="C61" s="306" t="s">
        <v>86</v>
      </c>
      <c r="D61" s="304" t="s">
        <v>17</v>
      </c>
      <c r="E61" s="273" t="s">
        <v>23</v>
      </c>
      <c r="F61" s="264" t="s">
        <v>158</v>
      </c>
      <c r="G61" s="239" t="s">
        <v>384</v>
      </c>
      <c r="H61" s="265"/>
      <c r="I61" s="109">
        <v>2</v>
      </c>
      <c r="J61" s="174">
        <v>1</v>
      </c>
      <c r="K61" s="174">
        <v>3</v>
      </c>
      <c r="L61" s="174">
        <v>3</v>
      </c>
      <c r="M61" s="174">
        <v>1</v>
      </c>
      <c r="N61" s="174">
        <v>1</v>
      </c>
      <c r="O61" s="174">
        <v>0</v>
      </c>
      <c r="P61" s="174">
        <v>2</v>
      </c>
      <c r="Q61" s="112">
        <f t="shared" ref="Q61:Q73" si="9">SUM(I61:P61)/COUNTIF(I61:P61,"&gt;0")</f>
        <v>1.8571428571428572</v>
      </c>
      <c r="R61" s="26" t="str">
        <f t="shared" si="8"/>
        <v>&lt;vul in&gt;</v>
      </c>
      <c r="S61" s="26"/>
      <c r="T61" s="26"/>
      <c r="U61" s="25"/>
      <c r="V61" s="25" t="s">
        <v>115</v>
      </c>
      <c r="W61" s="26"/>
      <c r="X61" s="25"/>
      <c r="Y61" s="25"/>
      <c r="Z61" s="25" t="s">
        <v>17</v>
      </c>
    </row>
    <row r="62" spans="1:26" ht="12.45" customHeight="1">
      <c r="A62" s="294"/>
      <c r="B62" s="306"/>
      <c r="C62" s="306"/>
      <c r="D62" s="304"/>
      <c r="E62" s="273" t="s">
        <v>17</v>
      </c>
      <c r="F62" s="264" t="s">
        <v>476</v>
      </c>
      <c r="G62" s="239" t="s">
        <v>477</v>
      </c>
      <c r="H62" s="265"/>
      <c r="I62" s="109">
        <v>1</v>
      </c>
      <c r="J62" s="174">
        <v>1</v>
      </c>
      <c r="K62" s="174">
        <v>1</v>
      </c>
      <c r="L62" s="174">
        <v>3</v>
      </c>
      <c r="M62" s="174">
        <v>1</v>
      </c>
      <c r="N62" s="174">
        <v>1</v>
      </c>
      <c r="O62" s="174">
        <v>0</v>
      </c>
      <c r="P62" s="174">
        <v>2</v>
      </c>
      <c r="Q62" s="112">
        <f>SUM(I62:P62)/COUNTIF(I62:P62,"&gt;0")</f>
        <v>1.4285714285714286</v>
      </c>
      <c r="R62" s="26" t="str">
        <f t="shared" si="8"/>
        <v>&lt;vul in&gt;</v>
      </c>
      <c r="S62" s="26"/>
      <c r="T62" s="26"/>
      <c r="U62" s="25"/>
      <c r="V62" s="25"/>
      <c r="W62" s="26"/>
      <c r="X62" s="25"/>
      <c r="Y62" s="25"/>
      <c r="Z62" s="25"/>
    </row>
    <row r="63" spans="1:26" ht="17.55" customHeight="1">
      <c r="A63" s="294"/>
      <c r="B63" s="306"/>
      <c r="C63" s="306" t="s">
        <v>116</v>
      </c>
      <c r="D63" s="304" t="s">
        <v>17</v>
      </c>
      <c r="E63" s="273" t="s">
        <v>23</v>
      </c>
      <c r="F63" s="264" t="s">
        <v>389</v>
      </c>
      <c r="G63" s="180" t="s">
        <v>385</v>
      </c>
      <c r="H63" s="266"/>
      <c r="I63" s="109">
        <v>1</v>
      </c>
      <c r="J63" s="109">
        <v>3</v>
      </c>
      <c r="K63" s="109">
        <v>3</v>
      </c>
      <c r="L63" s="109">
        <v>2</v>
      </c>
      <c r="M63" s="109">
        <v>1</v>
      </c>
      <c r="N63" s="109">
        <v>2</v>
      </c>
      <c r="O63" s="174">
        <v>0</v>
      </c>
      <c r="P63" s="109">
        <v>2</v>
      </c>
      <c r="Q63" s="112">
        <f t="shared" si="9"/>
        <v>2</v>
      </c>
      <c r="R63" s="26" t="str">
        <f t="shared" si="8"/>
        <v>&lt;vul in&gt;</v>
      </c>
      <c r="S63" s="26"/>
      <c r="T63" s="26"/>
      <c r="U63" s="25"/>
      <c r="V63" s="25" t="s">
        <v>95</v>
      </c>
      <c r="W63" s="26"/>
      <c r="X63" s="25"/>
      <c r="Y63" s="25"/>
      <c r="Z63" s="25" t="s">
        <v>23</v>
      </c>
    </row>
    <row r="64" spans="1:26" ht="13.5" customHeight="1">
      <c r="A64" s="294"/>
      <c r="B64" s="306"/>
      <c r="C64" s="306"/>
      <c r="D64" s="304"/>
      <c r="E64" s="273" t="s">
        <v>23</v>
      </c>
      <c r="F64" s="264" t="s">
        <v>387</v>
      </c>
      <c r="G64" s="181" t="s">
        <v>391</v>
      </c>
      <c r="H64" s="267"/>
      <c r="I64" s="109">
        <v>1</v>
      </c>
      <c r="J64" s="109">
        <v>1</v>
      </c>
      <c r="K64" s="109">
        <v>2</v>
      </c>
      <c r="L64" s="109">
        <v>3</v>
      </c>
      <c r="M64" s="109">
        <v>1</v>
      </c>
      <c r="N64" s="109">
        <v>1</v>
      </c>
      <c r="O64" s="174">
        <v>0</v>
      </c>
      <c r="P64" s="109">
        <v>3</v>
      </c>
      <c r="Q64" s="112">
        <f t="shared" si="9"/>
        <v>1.7142857142857142</v>
      </c>
      <c r="R64" s="26" t="str">
        <f t="shared" si="8"/>
        <v>&lt;vul in&gt;</v>
      </c>
      <c r="S64" s="26"/>
      <c r="T64" s="26"/>
      <c r="U64" s="25"/>
      <c r="V64" s="25"/>
      <c r="W64" s="26"/>
      <c r="X64" s="25"/>
      <c r="Y64" s="25"/>
      <c r="Z64" s="25"/>
    </row>
    <row r="65" spans="1:26" ht="12.45" customHeight="1">
      <c r="A65" s="294"/>
      <c r="B65" s="306"/>
      <c r="C65" s="306"/>
      <c r="D65" s="304"/>
      <c r="E65" s="273" t="s">
        <v>23</v>
      </c>
      <c r="F65" s="264">
        <v>2020</v>
      </c>
      <c r="G65" s="239" t="s">
        <v>390</v>
      </c>
      <c r="H65" s="265"/>
      <c r="I65" s="109">
        <v>1</v>
      </c>
      <c r="J65" s="109">
        <v>3</v>
      </c>
      <c r="K65" s="109">
        <v>4</v>
      </c>
      <c r="L65" s="109">
        <v>5</v>
      </c>
      <c r="M65" s="109">
        <v>1</v>
      </c>
      <c r="N65" s="109">
        <v>1</v>
      </c>
      <c r="O65" s="174">
        <v>0</v>
      </c>
      <c r="P65" s="109">
        <v>2</v>
      </c>
      <c r="Q65" s="112">
        <f t="shared" si="9"/>
        <v>2.4285714285714284</v>
      </c>
      <c r="R65" s="26" t="str">
        <f t="shared" si="8"/>
        <v>&lt;vul in&gt;</v>
      </c>
      <c r="S65" s="26"/>
      <c r="T65" s="26"/>
      <c r="U65" s="25"/>
      <c r="V65" s="25"/>
      <c r="W65" s="26"/>
      <c r="X65" s="25"/>
      <c r="Y65" s="25"/>
      <c r="Z65" s="25"/>
    </row>
    <row r="66" spans="1:26" ht="13.05" customHeight="1">
      <c r="A66" s="294"/>
      <c r="B66" s="306"/>
      <c r="C66" s="306"/>
      <c r="D66" s="304"/>
      <c r="E66" s="273" t="s">
        <v>23</v>
      </c>
      <c r="F66" s="264" t="s">
        <v>388</v>
      </c>
      <c r="G66" s="150" t="s">
        <v>386</v>
      </c>
      <c r="H66" s="268"/>
      <c r="I66" s="109">
        <v>3</v>
      </c>
      <c r="J66" s="109">
        <v>2</v>
      </c>
      <c r="K66" s="109">
        <v>3</v>
      </c>
      <c r="L66" s="109">
        <v>3</v>
      </c>
      <c r="M66" s="109">
        <v>1</v>
      </c>
      <c r="N66" s="109">
        <v>1</v>
      </c>
      <c r="O66" s="174">
        <v>0</v>
      </c>
      <c r="P66" s="109">
        <v>3</v>
      </c>
      <c r="Q66" s="112">
        <f t="shared" si="9"/>
        <v>2.2857142857142856</v>
      </c>
      <c r="R66" s="26" t="str">
        <f t="shared" si="8"/>
        <v>&lt;vul in&gt;</v>
      </c>
      <c r="S66" s="26"/>
      <c r="T66" s="26"/>
      <c r="U66" s="25"/>
      <c r="V66" s="25"/>
      <c r="W66" s="26"/>
      <c r="X66" s="25"/>
      <c r="Y66" s="25"/>
      <c r="Z66" s="25"/>
    </row>
    <row r="67" spans="1:26" ht="13.05" customHeight="1">
      <c r="A67" s="294"/>
      <c r="B67" s="306"/>
      <c r="C67" s="306"/>
      <c r="D67" s="304"/>
      <c r="E67" s="273" t="s">
        <v>17</v>
      </c>
      <c r="F67" s="264" t="s">
        <v>476</v>
      </c>
      <c r="G67" s="239" t="s">
        <v>478</v>
      </c>
      <c r="H67" s="268"/>
      <c r="I67" s="109">
        <v>1</v>
      </c>
      <c r="J67" s="109">
        <v>1</v>
      </c>
      <c r="K67" s="109">
        <v>1</v>
      </c>
      <c r="L67" s="109">
        <v>3</v>
      </c>
      <c r="M67" s="109">
        <v>1</v>
      </c>
      <c r="N67" s="109">
        <v>1</v>
      </c>
      <c r="O67" s="174"/>
      <c r="P67" s="109">
        <v>1</v>
      </c>
      <c r="Q67" s="112">
        <f>SUM(I67:P67)/COUNTIF(I67:P67,"&gt;0")</f>
        <v>1.2857142857142858</v>
      </c>
      <c r="R67" s="26" t="str">
        <f t="shared" si="8"/>
        <v>&lt;vul in&gt;</v>
      </c>
      <c r="S67" s="26"/>
      <c r="T67" s="26"/>
      <c r="U67" s="25"/>
      <c r="V67" s="25"/>
      <c r="W67" s="26"/>
      <c r="X67" s="25"/>
      <c r="Y67" s="25"/>
      <c r="Z67" s="25"/>
    </row>
    <row r="68" spans="1:26" ht="15" customHeight="1">
      <c r="A68" s="294"/>
      <c r="B68" s="306"/>
      <c r="C68" s="306" t="s">
        <v>120</v>
      </c>
      <c r="D68" s="310" t="s">
        <v>17</v>
      </c>
      <c r="E68" s="273" t="s">
        <v>23</v>
      </c>
      <c r="F68" s="274" t="s">
        <v>392</v>
      </c>
      <c r="G68" s="181" t="s">
        <v>394</v>
      </c>
      <c r="H68" s="267"/>
      <c r="I68" s="109">
        <v>1</v>
      </c>
      <c r="J68" s="109">
        <v>1</v>
      </c>
      <c r="K68" s="109">
        <v>3</v>
      </c>
      <c r="L68" s="109">
        <v>2</v>
      </c>
      <c r="M68" s="109">
        <v>2</v>
      </c>
      <c r="N68" s="109">
        <v>2</v>
      </c>
      <c r="O68" s="174">
        <v>0</v>
      </c>
      <c r="P68" s="109">
        <v>2</v>
      </c>
      <c r="Q68" s="112">
        <f t="shared" si="9"/>
        <v>1.8571428571428572</v>
      </c>
      <c r="R68" s="26" t="str">
        <f t="shared" si="8"/>
        <v>&lt;vul in&gt;</v>
      </c>
      <c r="S68" s="26"/>
      <c r="T68" s="26"/>
      <c r="U68" s="25"/>
      <c r="V68" s="25" t="s">
        <v>95</v>
      </c>
      <c r="W68" s="26"/>
      <c r="X68" s="25"/>
      <c r="Y68" s="25"/>
      <c r="Z68" s="25" t="s">
        <v>23</v>
      </c>
    </row>
    <row r="69" spans="1:26" ht="13.05" customHeight="1">
      <c r="A69" s="294"/>
      <c r="B69" s="306"/>
      <c r="C69" s="306"/>
      <c r="D69" s="310"/>
      <c r="E69" s="273" t="s">
        <v>23</v>
      </c>
      <c r="F69" s="274" t="s">
        <v>361</v>
      </c>
      <c r="G69" s="182" t="s">
        <v>393</v>
      </c>
      <c r="H69" s="275"/>
      <c r="I69" s="109">
        <v>2</v>
      </c>
      <c r="J69" s="109">
        <v>1</v>
      </c>
      <c r="K69" s="109">
        <v>3</v>
      </c>
      <c r="L69" s="109">
        <v>3</v>
      </c>
      <c r="M69" s="109">
        <v>1</v>
      </c>
      <c r="N69" s="109">
        <v>1</v>
      </c>
      <c r="O69" s="174">
        <v>0</v>
      </c>
      <c r="P69" s="109">
        <v>2</v>
      </c>
      <c r="Q69" s="112">
        <f t="shared" si="9"/>
        <v>1.8571428571428572</v>
      </c>
      <c r="R69" s="26" t="str">
        <f t="shared" si="8"/>
        <v>&lt;vul in&gt;</v>
      </c>
      <c r="S69" s="26"/>
      <c r="T69" s="26"/>
      <c r="U69" s="25"/>
      <c r="V69" s="25"/>
      <c r="W69" s="26"/>
      <c r="X69" s="25"/>
      <c r="Y69" s="25"/>
      <c r="Z69" s="25"/>
    </row>
    <row r="70" spans="1:26" ht="14.55" customHeight="1">
      <c r="A70" s="294"/>
      <c r="B70" s="306"/>
      <c r="C70" s="306"/>
      <c r="D70" s="310"/>
      <c r="E70" s="273" t="s">
        <v>17</v>
      </c>
      <c r="F70" s="264" t="s">
        <v>476</v>
      </c>
      <c r="G70" s="239" t="s">
        <v>479</v>
      </c>
      <c r="H70" s="275"/>
      <c r="I70" s="109">
        <v>1</v>
      </c>
      <c r="J70" s="109">
        <v>1</v>
      </c>
      <c r="K70" s="109">
        <v>1</v>
      </c>
      <c r="L70" s="109">
        <v>3</v>
      </c>
      <c r="M70" s="109">
        <v>1</v>
      </c>
      <c r="N70" s="109">
        <v>1</v>
      </c>
      <c r="O70" s="174">
        <v>0</v>
      </c>
      <c r="P70" s="109">
        <v>1</v>
      </c>
      <c r="Q70" s="112">
        <f t="shared" si="9"/>
        <v>1.2857142857142858</v>
      </c>
      <c r="R70" s="26"/>
      <c r="S70" s="26"/>
      <c r="T70" s="26"/>
      <c r="U70" s="25"/>
      <c r="V70" s="25"/>
      <c r="W70" s="26"/>
      <c r="X70" s="25"/>
      <c r="Y70" s="25"/>
      <c r="Z70" s="25"/>
    </row>
    <row r="71" spans="1:26" ht="13.2">
      <c r="A71" s="294"/>
      <c r="B71" s="316" t="s">
        <v>122</v>
      </c>
      <c r="C71" s="203" t="s">
        <v>86</v>
      </c>
      <c r="D71" s="273" t="s">
        <v>17</v>
      </c>
      <c r="E71" s="278" t="s">
        <v>17</v>
      </c>
      <c r="F71" s="264" t="s">
        <v>476</v>
      </c>
      <c r="G71" s="239" t="s">
        <v>480</v>
      </c>
      <c r="H71" s="276"/>
      <c r="I71" s="109">
        <v>1</v>
      </c>
      <c r="J71" s="109">
        <v>1</v>
      </c>
      <c r="K71" s="109">
        <v>1</v>
      </c>
      <c r="L71" s="109">
        <v>3</v>
      </c>
      <c r="M71" s="109">
        <v>1</v>
      </c>
      <c r="N71" s="109">
        <v>1</v>
      </c>
      <c r="O71" s="174">
        <v>0</v>
      </c>
      <c r="P71" s="109">
        <v>1</v>
      </c>
      <c r="Q71" s="112">
        <f t="shared" si="9"/>
        <v>1.2857142857142858</v>
      </c>
      <c r="R71" s="26" t="str">
        <f t="shared" si="8"/>
        <v>&lt;vul in&gt;</v>
      </c>
      <c r="S71" s="26"/>
      <c r="T71" s="26"/>
      <c r="U71" s="25"/>
      <c r="V71" s="25" t="s">
        <v>18</v>
      </c>
      <c r="W71" s="26"/>
      <c r="X71" s="25"/>
      <c r="Y71" s="25"/>
      <c r="Z71" s="25" t="s">
        <v>23</v>
      </c>
    </row>
    <row r="72" spans="1:26" ht="13.2">
      <c r="A72" s="294"/>
      <c r="B72" s="316"/>
      <c r="C72" s="203" t="s">
        <v>123</v>
      </c>
      <c r="D72" s="273" t="s">
        <v>17</v>
      </c>
      <c r="E72" s="278" t="s">
        <v>17</v>
      </c>
      <c r="F72" s="264" t="s">
        <v>476</v>
      </c>
      <c r="G72" s="239" t="s">
        <v>481</v>
      </c>
      <c r="H72" s="279"/>
      <c r="I72" s="109">
        <v>1</v>
      </c>
      <c r="J72" s="109">
        <v>1</v>
      </c>
      <c r="K72" s="109">
        <v>1</v>
      </c>
      <c r="L72" s="109">
        <v>3</v>
      </c>
      <c r="M72" s="109">
        <v>1</v>
      </c>
      <c r="N72" s="109">
        <v>1</v>
      </c>
      <c r="O72" s="174">
        <v>0</v>
      </c>
      <c r="P72" s="109">
        <v>1</v>
      </c>
      <c r="Q72" s="112">
        <f t="shared" si="9"/>
        <v>1.2857142857142858</v>
      </c>
      <c r="R72" s="26" t="str">
        <f t="shared" si="8"/>
        <v>&lt;vul in&gt;</v>
      </c>
      <c r="S72" s="26"/>
      <c r="T72" s="26"/>
      <c r="U72" s="25"/>
      <c r="V72" s="25" t="s">
        <v>95</v>
      </c>
      <c r="W72" s="26"/>
      <c r="X72" s="25"/>
      <c r="Y72" s="25"/>
      <c r="Z72" s="25" t="s">
        <v>23</v>
      </c>
    </row>
    <row r="73" spans="1:26" ht="13.2">
      <c r="A73" s="294"/>
      <c r="B73" s="316"/>
      <c r="C73" s="203" t="s">
        <v>126</v>
      </c>
      <c r="D73" s="273" t="s">
        <v>17</v>
      </c>
      <c r="E73" s="278" t="s">
        <v>17</v>
      </c>
      <c r="F73" s="264" t="s">
        <v>476</v>
      </c>
      <c r="G73" s="239" t="s">
        <v>481</v>
      </c>
      <c r="H73" s="279"/>
      <c r="I73" s="109">
        <v>1</v>
      </c>
      <c r="J73" s="109">
        <v>1</v>
      </c>
      <c r="K73" s="109">
        <v>1</v>
      </c>
      <c r="L73" s="109">
        <v>3</v>
      </c>
      <c r="M73" s="109">
        <v>1</v>
      </c>
      <c r="N73" s="109">
        <v>1</v>
      </c>
      <c r="O73" s="174">
        <v>0</v>
      </c>
      <c r="P73" s="109">
        <v>2</v>
      </c>
      <c r="Q73" s="112">
        <f t="shared" si="9"/>
        <v>1.4285714285714286</v>
      </c>
      <c r="R73" s="26" t="str">
        <f t="shared" si="8"/>
        <v>&lt;vul in&gt;</v>
      </c>
      <c r="S73" s="26"/>
      <c r="T73" s="26"/>
      <c r="U73" s="25"/>
      <c r="V73" s="25" t="s">
        <v>18</v>
      </c>
      <c r="W73" s="26"/>
      <c r="X73" s="25"/>
      <c r="Y73" s="25"/>
      <c r="Z73" s="25" t="s">
        <v>23</v>
      </c>
    </row>
    <row r="74" spans="1:26" ht="13.2">
      <c r="A74" s="294"/>
      <c r="B74" s="316" t="s">
        <v>128</v>
      </c>
      <c r="C74" s="306" t="s">
        <v>86</v>
      </c>
      <c r="D74" s="273" t="s">
        <v>17</v>
      </c>
      <c r="E74" s="273" t="s">
        <v>23</v>
      </c>
      <c r="F74" s="264">
        <v>2025</v>
      </c>
      <c r="G74" s="239" t="s">
        <v>395</v>
      </c>
      <c r="H74" s="265"/>
      <c r="I74" s="109">
        <v>1</v>
      </c>
      <c r="J74" s="109">
        <v>1</v>
      </c>
      <c r="K74" s="109">
        <v>3</v>
      </c>
      <c r="L74" s="109">
        <v>4</v>
      </c>
      <c r="M74" s="109">
        <v>1</v>
      </c>
      <c r="N74" s="109">
        <v>1</v>
      </c>
      <c r="O74" s="174">
        <v>0</v>
      </c>
      <c r="P74" s="109">
        <v>2</v>
      </c>
      <c r="Q74" s="112">
        <f t="shared" ref="Q74:Q87" si="10">SUM(I74:P74)/COUNTIF(I74:P74,"&gt;0")</f>
        <v>1.8571428571428572</v>
      </c>
      <c r="R74" s="26" t="str">
        <f t="shared" si="8"/>
        <v>&lt;vul in&gt;</v>
      </c>
      <c r="S74" s="26"/>
      <c r="T74" s="26"/>
      <c r="U74" s="25"/>
      <c r="V74" s="25" t="s">
        <v>95</v>
      </c>
      <c r="W74" s="26"/>
      <c r="X74" s="25"/>
      <c r="Y74" s="25"/>
      <c r="Z74" s="25" t="s">
        <v>23</v>
      </c>
    </row>
    <row r="75" spans="1:26" ht="13.2">
      <c r="A75" s="294"/>
      <c r="B75" s="316"/>
      <c r="C75" s="306"/>
      <c r="D75" s="273" t="s">
        <v>17</v>
      </c>
      <c r="E75" s="273" t="s">
        <v>17</v>
      </c>
      <c r="F75" s="264" t="s">
        <v>476</v>
      </c>
      <c r="G75" s="239" t="s">
        <v>482</v>
      </c>
      <c r="H75" s="265"/>
      <c r="I75" s="109">
        <v>1</v>
      </c>
      <c r="J75" s="109">
        <v>1</v>
      </c>
      <c r="K75" s="109">
        <v>1</v>
      </c>
      <c r="L75" s="109">
        <v>3</v>
      </c>
      <c r="M75" s="109">
        <v>1</v>
      </c>
      <c r="N75" s="109">
        <v>1</v>
      </c>
      <c r="O75" s="174">
        <v>0</v>
      </c>
      <c r="P75" s="109">
        <v>1</v>
      </c>
      <c r="Q75" s="112">
        <f t="shared" si="10"/>
        <v>1.2857142857142858</v>
      </c>
      <c r="R75" s="26" t="str">
        <f t="shared" si="8"/>
        <v>&lt;vul in&gt;</v>
      </c>
      <c r="S75" s="26"/>
      <c r="T75" s="26"/>
      <c r="U75" s="25"/>
      <c r="V75" s="25"/>
      <c r="W75" s="26"/>
      <c r="X75" s="25"/>
      <c r="Y75" s="25"/>
      <c r="Z75" s="25"/>
    </row>
    <row r="76" spans="1:26" ht="13.2">
      <c r="A76" s="294"/>
      <c r="B76" s="316"/>
      <c r="C76" s="315" t="s">
        <v>129</v>
      </c>
      <c r="D76" s="310" t="s">
        <v>17</v>
      </c>
      <c r="E76" s="273" t="s">
        <v>23</v>
      </c>
      <c r="F76" s="264" t="s">
        <v>396</v>
      </c>
      <c r="G76" s="280" t="s">
        <v>397</v>
      </c>
      <c r="H76" s="266"/>
      <c r="I76" s="109">
        <v>1</v>
      </c>
      <c r="J76" s="109">
        <v>1</v>
      </c>
      <c r="K76" s="109">
        <v>3</v>
      </c>
      <c r="L76" s="109">
        <v>1</v>
      </c>
      <c r="M76" s="109">
        <v>1</v>
      </c>
      <c r="N76" s="109">
        <v>1</v>
      </c>
      <c r="O76" s="174">
        <v>0</v>
      </c>
      <c r="P76" s="109">
        <v>2</v>
      </c>
      <c r="Q76" s="112">
        <f t="shared" si="10"/>
        <v>1.4285714285714286</v>
      </c>
      <c r="R76" s="26" t="str">
        <f t="shared" si="8"/>
        <v>&lt;vul in&gt;</v>
      </c>
      <c r="S76" s="26"/>
      <c r="T76" s="26"/>
      <c r="U76" s="25"/>
      <c r="V76" s="25"/>
      <c r="W76" s="26"/>
      <c r="X76" s="25"/>
      <c r="Y76" s="25"/>
      <c r="Z76" s="25"/>
    </row>
    <row r="77" spans="1:26" ht="13.2">
      <c r="A77" s="294"/>
      <c r="B77" s="316"/>
      <c r="C77" s="315"/>
      <c r="D77" s="310"/>
      <c r="E77" s="273" t="s">
        <v>23</v>
      </c>
      <c r="F77" s="264">
        <v>2025</v>
      </c>
      <c r="G77" s="239" t="s">
        <v>165</v>
      </c>
      <c r="H77" s="265"/>
      <c r="I77" s="109">
        <v>2</v>
      </c>
      <c r="J77" s="109">
        <v>3</v>
      </c>
      <c r="K77" s="109">
        <v>3</v>
      </c>
      <c r="L77" s="109">
        <v>2</v>
      </c>
      <c r="M77" s="109">
        <v>1</v>
      </c>
      <c r="N77" s="109">
        <v>1</v>
      </c>
      <c r="O77" s="174">
        <v>0</v>
      </c>
      <c r="P77" s="109">
        <v>2</v>
      </c>
      <c r="Q77" s="112">
        <f t="shared" si="10"/>
        <v>2</v>
      </c>
      <c r="R77" s="26" t="str">
        <f>IF(D77="Nee","-","&lt;vul in&gt;")</f>
        <v>&lt;vul in&gt;</v>
      </c>
      <c r="S77" s="26"/>
      <c r="T77" s="26"/>
      <c r="U77" s="25"/>
      <c r="V77" s="25" t="s">
        <v>95</v>
      </c>
      <c r="W77" s="26"/>
      <c r="X77" s="25"/>
      <c r="Y77" s="25"/>
      <c r="Z77" s="25" t="s">
        <v>17</v>
      </c>
    </row>
    <row r="78" spans="1:26" ht="13.2">
      <c r="A78" s="294"/>
      <c r="B78" s="316"/>
      <c r="C78" s="315"/>
      <c r="D78" s="310"/>
      <c r="E78" s="273" t="s">
        <v>17</v>
      </c>
      <c r="F78" s="264" t="s">
        <v>476</v>
      </c>
      <c r="G78" s="239" t="s">
        <v>483</v>
      </c>
      <c r="H78" s="265"/>
      <c r="I78" s="109">
        <v>1</v>
      </c>
      <c r="J78" s="109">
        <v>1</v>
      </c>
      <c r="K78" s="109">
        <v>1</v>
      </c>
      <c r="L78" s="109">
        <v>3</v>
      </c>
      <c r="M78" s="109">
        <v>1</v>
      </c>
      <c r="N78" s="109">
        <v>1</v>
      </c>
      <c r="O78" s="174">
        <v>0</v>
      </c>
      <c r="P78" s="109">
        <v>1</v>
      </c>
      <c r="Q78" s="112">
        <f t="shared" si="10"/>
        <v>1.2857142857142858</v>
      </c>
      <c r="R78" s="26"/>
      <c r="S78" s="26"/>
      <c r="T78" s="26"/>
      <c r="U78" s="25"/>
      <c r="V78" s="25"/>
      <c r="W78" s="26"/>
      <c r="X78" s="25"/>
      <c r="Y78" s="25"/>
      <c r="Z78" s="25"/>
    </row>
    <row r="79" spans="1:26" ht="13.2">
      <c r="A79" s="294"/>
      <c r="B79" s="316"/>
      <c r="C79" s="306" t="s">
        <v>132</v>
      </c>
      <c r="D79" s="310" t="s">
        <v>17</v>
      </c>
      <c r="E79" s="273" t="s">
        <v>23</v>
      </c>
      <c r="F79" s="264">
        <v>2023</v>
      </c>
      <c r="G79" s="239" t="s">
        <v>398</v>
      </c>
      <c r="H79" s="265"/>
      <c r="I79" s="109">
        <v>2</v>
      </c>
      <c r="J79" s="109">
        <v>3</v>
      </c>
      <c r="K79" s="109">
        <v>3</v>
      </c>
      <c r="L79" s="109">
        <v>4</v>
      </c>
      <c r="M79" s="109">
        <v>1</v>
      </c>
      <c r="N79" s="109">
        <v>1</v>
      </c>
      <c r="O79" s="174">
        <v>0</v>
      </c>
      <c r="P79" s="109">
        <v>2</v>
      </c>
      <c r="Q79" s="112">
        <f t="shared" si="10"/>
        <v>2.2857142857142856</v>
      </c>
      <c r="R79" s="26" t="str">
        <f>IF(D79="Nee","-","&lt;vul in&gt;")</f>
        <v>&lt;vul in&gt;</v>
      </c>
      <c r="S79" s="26"/>
      <c r="T79" s="26"/>
      <c r="U79" s="25"/>
      <c r="V79" s="25" t="s">
        <v>95</v>
      </c>
      <c r="W79" s="26"/>
      <c r="X79" s="25"/>
      <c r="Y79" s="25"/>
      <c r="Z79" s="25" t="s">
        <v>23</v>
      </c>
    </row>
    <row r="80" spans="1:26" ht="13.2">
      <c r="A80" s="294"/>
      <c r="B80" s="316"/>
      <c r="C80" s="306"/>
      <c r="D80" s="310"/>
      <c r="E80" s="273" t="s">
        <v>17</v>
      </c>
      <c r="F80" s="264" t="s">
        <v>476</v>
      </c>
      <c r="G80" s="239" t="s">
        <v>484</v>
      </c>
      <c r="H80" s="265"/>
      <c r="I80" s="109">
        <v>1</v>
      </c>
      <c r="J80" s="109">
        <v>1</v>
      </c>
      <c r="K80" s="109">
        <v>1</v>
      </c>
      <c r="L80" s="109">
        <v>3</v>
      </c>
      <c r="M80" s="109">
        <v>1</v>
      </c>
      <c r="N80" s="109">
        <v>1</v>
      </c>
      <c r="O80" s="174">
        <v>0</v>
      </c>
      <c r="P80" s="109">
        <v>1</v>
      </c>
      <c r="Q80" s="112">
        <f t="shared" si="10"/>
        <v>1.2857142857142858</v>
      </c>
      <c r="R80" s="26"/>
      <c r="S80" s="26"/>
      <c r="T80" s="26"/>
      <c r="U80" s="25"/>
      <c r="V80" s="25"/>
      <c r="W80" s="26"/>
      <c r="X80" s="25"/>
      <c r="Y80" s="25"/>
      <c r="Z80" s="25"/>
    </row>
    <row r="81" spans="1:26" ht="13.2">
      <c r="A81" s="294"/>
      <c r="B81" s="316"/>
      <c r="C81" s="306" t="s">
        <v>133</v>
      </c>
      <c r="D81" s="310" t="s">
        <v>17</v>
      </c>
      <c r="E81" s="273" t="s">
        <v>23</v>
      </c>
      <c r="F81" s="264">
        <v>2024</v>
      </c>
      <c r="G81" s="239" t="s">
        <v>399</v>
      </c>
      <c r="H81" s="265"/>
      <c r="I81" s="109">
        <v>1</v>
      </c>
      <c r="J81" s="109">
        <v>1</v>
      </c>
      <c r="K81" s="109">
        <v>3</v>
      </c>
      <c r="L81" s="109">
        <v>3</v>
      </c>
      <c r="M81" s="109">
        <v>1</v>
      </c>
      <c r="N81" s="109">
        <v>1</v>
      </c>
      <c r="O81" s="174">
        <v>0</v>
      </c>
      <c r="P81" s="109">
        <v>4</v>
      </c>
      <c r="Q81" s="112">
        <f t="shared" si="10"/>
        <v>2</v>
      </c>
      <c r="R81" s="26"/>
      <c r="S81" s="26"/>
      <c r="T81" s="26"/>
      <c r="U81" s="25"/>
      <c r="V81" s="25"/>
      <c r="W81" s="26"/>
      <c r="X81" s="25"/>
      <c r="Y81" s="25"/>
      <c r="Z81" s="25"/>
    </row>
    <row r="82" spans="1:26" ht="13.2">
      <c r="A82" s="294"/>
      <c r="B82" s="316"/>
      <c r="C82" s="306"/>
      <c r="D82" s="310"/>
      <c r="E82" s="273" t="s">
        <v>23</v>
      </c>
      <c r="F82" s="264">
        <v>2023</v>
      </c>
      <c r="G82" s="239" t="s">
        <v>395</v>
      </c>
      <c r="H82" s="265"/>
      <c r="I82" s="109">
        <v>1</v>
      </c>
      <c r="J82" s="109">
        <v>1</v>
      </c>
      <c r="K82" s="109">
        <v>3</v>
      </c>
      <c r="L82" s="109">
        <v>4</v>
      </c>
      <c r="M82" s="109">
        <v>1</v>
      </c>
      <c r="N82" s="109">
        <v>1</v>
      </c>
      <c r="O82" s="174">
        <v>0</v>
      </c>
      <c r="P82" s="109">
        <v>2</v>
      </c>
      <c r="Q82" s="112">
        <f t="shared" si="10"/>
        <v>1.8571428571428572</v>
      </c>
      <c r="R82" s="26" t="str">
        <f>IF(D82="Nee","-","&lt;vul in&gt;")</f>
        <v>&lt;vul in&gt;</v>
      </c>
      <c r="S82" s="26"/>
      <c r="T82" s="26"/>
      <c r="U82" s="25"/>
      <c r="V82" s="25" t="s">
        <v>95</v>
      </c>
      <c r="W82" s="26"/>
      <c r="X82" s="25"/>
      <c r="Y82" s="25"/>
      <c r="Z82" s="25" t="s">
        <v>23</v>
      </c>
    </row>
    <row r="83" spans="1:26" ht="13.2">
      <c r="A83" s="294"/>
      <c r="B83" s="316"/>
      <c r="C83" s="306"/>
      <c r="D83" s="310"/>
      <c r="E83" s="273" t="s">
        <v>17</v>
      </c>
      <c r="F83" s="264" t="s">
        <v>476</v>
      </c>
      <c r="G83" s="239" t="s">
        <v>485</v>
      </c>
      <c r="H83" s="265"/>
      <c r="I83" s="109">
        <v>1</v>
      </c>
      <c r="J83" s="109">
        <v>1</v>
      </c>
      <c r="K83" s="109">
        <v>1</v>
      </c>
      <c r="L83" s="109">
        <v>3</v>
      </c>
      <c r="M83" s="109">
        <v>1</v>
      </c>
      <c r="N83" s="109">
        <v>1</v>
      </c>
      <c r="O83" s="174">
        <v>0</v>
      </c>
      <c r="P83" s="109">
        <v>1</v>
      </c>
      <c r="Q83" s="112">
        <f t="shared" si="10"/>
        <v>1.2857142857142858</v>
      </c>
      <c r="R83" s="26"/>
      <c r="S83" s="26"/>
      <c r="T83" s="26"/>
      <c r="U83" s="25"/>
      <c r="V83" s="25"/>
      <c r="W83" s="26"/>
      <c r="X83" s="25"/>
      <c r="Y83" s="25"/>
      <c r="Z83" s="25"/>
    </row>
    <row r="84" spans="1:26" ht="13.2">
      <c r="A84" s="294"/>
      <c r="B84" s="306" t="s">
        <v>134</v>
      </c>
      <c r="C84" s="306" t="s">
        <v>86</v>
      </c>
      <c r="D84" s="304" t="s">
        <v>17</v>
      </c>
      <c r="E84" s="273" t="s">
        <v>23</v>
      </c>
      <c r="F84" s="264">
        <v>2024</v>
      </c>
      <c r="G84" s="239" t="s">
        <v>400</v>
      </c>
      <c r="H84" s="265"/>
      <c r="I84" s="109">
        <v>2</v>
      </c>
      <c r="J84" s="109">
        <v>2</v>
      </c>
      <c r="K84" s="109">
        <v>3</v>
      </c>
      <c r="L84" s="109">
        <v>3</v>
      </c>
      <c r="M84" s="109">
        <v>1</v>
      </c>
      <c r="N84" s="109">
        <v>2</v>
      </c>
      <c r="O84" s="174">
        <v>0</v>
      </c>
      <c r="P84" s="109">
        <v>2</v>
      </c>
      <c r="Q84" s="112">
        <f t="shared" si="10"/>
        <v>2.1428571428571428</v>
      </c>
      <c r="R84" s="26"/>
      <c r="S84" s="26"/>
      <c r="T84" s="26"/>
      <c r="U84" s="25"/>
      <c r="V84" s="25" t="s">
        <v>95</v>
      </c>
      <c r="W84" s="26"/>
      <c r="X84" s="25"/>
      <c r="Y84" s="25"/>
      <c r="Z84" s="25" t="s">
        <v>17</v>
      </c>
    </row>
    <row r="85" spans="1:26" ht="13.2">
      <c r="A85" s="294"/>
      <c r="B85" s="306"/>
      <c r="C85" s="306"/>
      <c r="D85" s="304"/>
      <c r="E85" s="273" t="s">
        <v>23</v>
      </c>
      <c r="F85" s="264" t="s">
        <v>491</v>
      </c>
      <c r="G85" s="239" t="s">
        <v>395</v>
      </c>
      <c r="H85" s="265"/>
      <c r="I85" s="109">
        <v>1</v>
      </c>
      <c r="J85" s="109">
        <v>1</v>
      </c>
      <c r="K85" s="109">
        <v>3</v>
      </c>
      <c r="L85" s="109">
        <v>4</v>
      </c>
      <c r="M85" s="109">
        <v>1</v>
      </c>
      <c r="N85" s="109">
        <v>1</v>
      </c>
      <c r="O85" s="174">
        <v>0</v>
      </c>
      <c r="P85" s="109">
        <v>2</v>
      </c>
      <c r="Q85" s="112">
        <f t="shared" si="10"/>
        <v>1.8571428571428572</v>
      </c>
      <c r="R85" s="26"/>
      <c r="S85" s="26"/>
      <c r="T85" s="26"/>
      <c r="U85" s="25"/>
      <c r="V85" s="25"/>
      <c r="W85" s="26"/>
      <c r="X85" s="25"/>
      <c r="Y85" s="25"/>
      <c r="Z85" s="25"/>
    </row>
    <row r="86" spans="1:26" ht="13.2">
      <c r="A86" s="294"/>
      <c r="B86" s="306"/>
      <c r="C86" s="306"/>
      <c r="D86" s="304"/>
      <c r="E86" s="273" t="s">
        <v>17</v>
      </c>
      <c r="F86" s="264" t="s">
        <v>476</v>
      </c>
      <c r="G86" s="239" t="s">
        <v>486</v>
      </c>
      <c r="H86" s="265"/>
      <c r="I86" s="109">
        <v>1</v>
      </c>
      <c r="J86" s="109">
        <v>1</v>
      </c>
      <c r="K86" s="109">
        <v>1</v>
      </c>
      <c r="L86" s="109">
        <v>3</v>
      </c>
      <c r="M86" s="109">
        <v>1</v>
      </c>
      <c r="N86" s="109">
        <v>1</v>
      </c>
      <c r="O86" s="174">
        <v>0</v>
      </c>
      <c r="P86" s="109">
        <v>1</v>
      </c>
      <c r="Q86" s="112">
        <f t="shared" si="10"/>
        <v>1.2857142857142858</v>
      </c>
      <c r="R86" s="26"/>
      <c r="S86" s="26"/>
      <c r="T86" s="26"/>
      <c r="U86" s="25"/>
      <c r="V86" s="25"/>
      <c r="W86" s="26"/>
      <c r="X86" s="25"/>
      <c r="Y86" s="25"/>
      <c r="Z86" s="25"/>
    </row>
    <row r="87" spans="1:26" ht="13.2">
      <c r="A87" s="294"/>
      <c r="B87" s="306"/>
      <c r="C87" s="203" t="s">
        <v>135</v>
      </c>
      <c r="D87" s="273" t="s">
        <v>17</v>
      </c>
      <c r="E87" s="273" t="s">
        <v>23</v>
      </c>
      <c r="F87" s="264" t="s">
        <v>476</v>
      </c>
      <c r="G87" s="239" t="s">
        <v>487</v>
      </c>
      <c r="H87" s="265"/>
      <c r="I87" s="109">
        <v>1</v>
      </c>
      <c r="J87" s="109">
        <v>1</v>
      </c>
      <c r="K87" s="109">
        <v>1</v>
      </c>
      <c r="L87" s="109">
        <v>3</v>
      </c>
      <c r="M87" s="109">
        <v>1</v>
      </c>
      <c r="N87" s="109">
        <v>1</v>
      </c>
      <c r="O87" s="109">
        <v>0</v>
      </c>
      <c r="P87" s="109">
        <v>3</v>
      </c>
      <c r="Q87" s="112">
        <f t="shared" si="10"/>
        <v>1.5714285714285714</v>
      </c>
      <c r="R87" s="26" t="str">
        <f>IF(D87="Nee","-","&lt;vul in&gt;")</f>
        <v>&lt;vul in&gt;</v>
      </c>
      <c r="S87" s="26"/>
      <c r="T87" s="26"/>
      <c r="U87" s="25"/>
      <c r="V87" s="25"/>
      <c r="W87" s="26"/>
      <c r="X87" s="25"/>
      <c r="Y87" s="25"/>
      <c r="Z87" s="25" t="s">
        <v>23</v>
      </c>
    </row>
    <row r="88" spans="1:26" ht="13.2">
      <c r="A88" s="294"/>
      <c r="B88" s="306"/>
      <c r="C88" s="306" t="s">
        <v>140</v>
      </c>
      <c r="D88" s="304" t="s">
        <v>17</v>
      </c>
      <c r="E88" s="273" t="s">
        <v>23</v>
      </c>
      <c r="F88" s="264" t="s">
        <v>402</v>
      </c>
      <c r="G88" s="239" t="s">
        <v>401</v>
      </c>
      <c r="H88" s="265"/>
      <c r="I88" s="109">
        <v>3</v>
      </c>
      <c r="J88" s="109">
        <v>4</v>
      </c>
      <c r="K88" s="109">
        <v>4</v>
      </c>
      <c r="L88" s="109">
        <v>5</v>
      </c>
      <c r="M88" s="109">
        <v>4</v>
      </c>
      <c r="N88" s="109">
        <v>3</v>
      </c>
      <c r="O88" s="174">
        <v>0</v>
      </c>
      <c r="P88" s="109">
        <v>2</v>
      </c>
      <c r="Q88" s="112">
        <f t="shared" ref="Q88:Q89" si="11">SUM(I88:P88)/COUNTIF(I88:P88,"&gt;0")</f>
        <v>3.5714285714285716</v>
      </c>
      <c r="R88" s="26" t="str">
        <f>IF(D88="Nee","-","&lt;vul in&gt;")</f>
        <v>&lt;vul in&gt;</v>
      </c>
      <c r="S88" s="26"/>
      <c r="T88" s="26"/>
      <c r="U88" s="25"/>
      <c r="V88" s="25"/>
      <c r="W88" s="26"/>
      <c r="X88" s="25"/>
      <c r="Y88" s="25"/>
      <c r="Z88" s="25" t="s">
        <v>23</v>
      </c>
    </row>
    <row r="89" spans="1:26" ht="13.2">
      <c r="A89" s="294"/>
      <c r="B89" s="306"/>
      <c r="C89" s="306"/>
      <c r="D89" s="304"/>
      <c r="E89" s="273" t="s">
        <v>17</v>
      </c>
      <c r="F89" s="264" t="s">
        <v>476</v>
      </c>
      <c r="G89" s="239" t="s">
        <v>488</v>
      </c>
      <c r="H89" s="265"/>
      <c r="I89" s="109">
        <v>1</v>
      </c>
      <c r="J89" s="109">
        <v>1</v>
      </c>
      <c r="K89" s="109">
        <v>1</v>
      </c>
      <c r="L89" s="109">
        <v>3</v>
      </c>
      <c r="M89" s="109">
        <v>1</v>
      </c>
      <c r="N89" s="109">
        <v>1</v>
      </c>
      <c r="O89" s="109">
        <v>0</v>
      </c>
      <c r="P89" s="109">
        <v>2</v>
      </c>
      <c r="Q89" s="112">
        <f t="shared" si="11"/>
        <v>1.4285714285714286</v>
      </c>
      <c r="R89" s="26"/>
      <c r="S89" s="26"/>
      <c r="T89" s="26"/>
      <c r="U89" s="25"/>
      <c r="V89" s="25"/>
      <c r="W89" s="26"/>
      <c r="X89" s="25"/>
      <c r="Y89" s="25"/>
      <c r="Z89" s="25"/>
    </row>
    <row r="90" spans="1:26" ht="13.2">
      <c r="A90" s="294"/>
      <c r="B90" s="306"/>
      <c r="C90" s="203" t="s">
        <v>142</v>
      </c>
      <c r="D90" s="273" t="s">
        <v>23</v>
      </c>
      <c r="E90" s="273" t="s">
        <v>23</v>
      </c>
      <c r="F90" s="277"/>
      <c r="G90" s="281"/>
      <c r="H90" s="282"/>
      <c r="I90" s="109"/>
      <c r="J90" s="109"/>
      <c r="K90" s="109"/>
      <c r="L90" s="109"/>
      <c r="M90" s="109"/>
      <c r="N90" s="109"/>
      <c r="O90" s="109"/>
      <c r="P90" s="109"/>
      <c r="Q90" s="112"/>
      <c r="R90" s="26" t="str">
        <f t="shared" ref="R90:R97" si="12">IF(D90="Nee","-","&lt;vul in&gt;")</f>
        <v>-</v>
      </c>
      <c r="S90" s="26"/>
      <c r="T90" s="26"/>
      <c r="U90" s="25"/>
      <c r="V90" s="25"/>
      <c r="W90" s="26"/>
      <c r="X90" s="25"/>
      <c r="Y90" s="25"/>
      <c r="Z90" s="25" t="s">
        <v>23</v>
      </c>
    </row>
    <row r="91" spans="1:26" ht="13.2">
      <c r="A91" s="294"/>
      <c r="B91" s="306"/>
      <c r="C91" s="306" t="s">
        <v>143</v>
      </c>
      <c r="D91" s="304" t="s">
        <v>17</v>
      </c>
      <c r="E91" s="273" t="s">
        <v>23</v>
      </c>
      <c r="F91" s="264" t="s">
        <v>492</v>
      </c>
      <c r="G91" s="239" t="s">
        <v>169</v>
      </c>
      <c r="H91" s="265"/>
      <c r="I91" s="109">
        <v>3</v>
      </c>
      <c r="J91" s="109">
        <v>2</v>
      </c>
      <c r="K91" s="109">
        <v>4</v>
      </c>
      <c r="L91" s="109">
        <v>1</v>
      </c>
      <c r="M91" s="109">
        <v>2</v>
      </c>
      <c r="N91" s="109">
        <v>3</v>
      </c>
      <c r="O91" s="109">
        <v>0</v>
      </c>
      <c r="P91" s="109">
        <v>2</v>
      </c>
      <c r="Q91" s="112">
        <f>SUM(I91:P91)/COUNTIF(I91:P91,"&gt;0")</f>
        <v>2.4285714285714284</v>
      </c>
      <c r="R91" s="26" t="str">
        <f t="shared" si="12"/>
        <v>&lt;vul in&gt;</v>
      </c>
      <c r="S91" s="26"/>
      <c r="T91" s="26"/>
      <c r="U91" s="25"/>
      <c r="V91" s="25"/>
      <c r="W91" s="26"/>
      <c r="X91" s="25"/>
      <c r="Y91" s="25"/>
      <c r="Z91" s="25" t="s">
        <v>23</v>
      </c>
    </row>
    <row r="92" spans="1:26" ht="13.2">
      <c r="A92" s="294"/>
      <c r="B92" s="306"/>
      <c r="C92" s="306"/>
      <c r="D92" s="304"/>
      <c r="E92" s="273" t="s">
        <v>17</v>
      </c>
      <c r="F92" s="264" t="s">
        <v>476</v>
      </c>
      <c r="G92" s="239" t="s">
        <v>489</v>
      </c>
      <c r="H92" s="265"/>
      <c r="I92" s="109">
        <v>1</v>
      </c>
      <c r="J92" s="109">
        <v>1</v>
      </c>
      <c r="K92" s="109">
        <v>1</v>
      </c>
      <c r="L92" s="109">
        <v>3</v>
      </c>
      <c r="M92" s="109">
        <v>1</v>
      </c>
      <c r="N92" s="109">
        <v>1</v>
      </c>
      <c r="O92" s="109">
        <v>0</v>
      </c>
      <c r="P92" s="109">
        <v>2</v>
      </c>
      <c r="Q92" s="112">
        <f>SUM(I92:P92)/COUNTIF(I92:P92,"&gt;0")</f>
        <v>1.4285714285714286</v>
      </c>
      <c r="R92" s="26"/>
      <c r="S92" s="26"/>
      <c r="T92" s="26"/>
      <c r="U92" s="25"/>
      <c r="V92" s="25"/>
      <c r="W92" s="26"/>
      <c r="X92" s="25"/>
      <c r="Y92" s="25"/>
      <c r="Z92" s="25"/>
    </row>
    <row r="93" spans="1:26" ht="13.2">
      <c r="A93" s="294"/>
      <c r="B93" s="306"/>
      <c r="C93" s="203" t="s">
        <v>144</v>
      </c>
      <c r="D93" s="273" t="s">
        <v>17</v>
      </c>
      <c r="E93" s="273" t="s">
        <v>17</v>
      </c>
      <c r="F93" s="264" t="s">
        <v>476</v>
      </c>
      <c r="G93" s="239" t="s">
        <v>490</v>
      </c>
      <c r="H93" s="249"/>
      <c r="I93" s="109">
        <v>1</v>
      </c>
      <c r="J93" s="109">
        <v>1</v>
      </c>
      <c r="K93" s="109">
        <v>1</v>
      </c>
      <c r="L93" s="109">
        <v>3</v>
      </c>
      <c r="M93" s="109">
        <v>1</v>
      </c>
      <c r="N93" s="109">
        <v>1</v>
      </c>
      <c r="O93" s="109">
        <v>0</v>
      </c>
      <c r="P93" s="109">
        <v>3</v>
      </c>
      <c r="Q93" s="112">
        <f>SUM(I93:P93)/COUNTIF(I93:P93,"&gt;0")</f>
        <v>1.5714285714285714</v>
      </c>
      <c r="R93" s="26" t="str">
        <f t="shared" si="12"/>
        <v>&lt;vul in&gt;</v>
      </c>
      <c r="S93" s="26"/>
      <c r="T93" s="26"/>
      <c r="U93" s="25"/>
      <c r="V93" s="25"/>
      <c r="W93" s="26"/>
      <c r="X93" s="25"/>
      <c r="Y93" s="25"/>
      <c r="Z93" s="25" t="s">
        <v>23</v>
      </c>
    </row>
    <row r="94" spans="1:26" ht="13.2">
      <c r="A94" s="294"/>
      <c r="B94" s="311" t="s">
        <v>146</v>
      </c>
      <c r="C94" s="203" t="s">
        <v>505</v>
      </c>
      <c r="D94" s="283" t="s">
        <v>17</v>
      </c>
      <c r="E94" s="273" t="s">
        <v>23</v>
      </c>
      <c r="F94" s="264" t="s">
        <v>476</v>
      </c>
      <c r="G94" s="193" t="s">
        <v>503</v>
      </c>
      <c r="H94" s="284"/>
      <c r="I94" s="238"/>
      <c r="J94" s="179"/>
      <c r="K94" s="179"/>
      <c r="L94" s="179"/>
      <c r="M94" s="179"/>
      <c r="N94" s="179"/>
      <c r="O94" s="179"/>
      <c r="P94" s="179"/>
      <c r="Q94" s="112"/>
      <c r="R94" s="26"/>
      <c r="S94" s="26"/>
      <c r="T94" s="26"/>
      <c r="U94" s="25"/>
      <c r="V94" s="25"/>
      <c r="W94" s="21"/>
      <c r="X94" s="25"/>
      <c r="Y94" s="25"/>
      <c r="Z94" s="25"/>
    </row>
    <row r="95" spans="1:26" ht="13.2">
      <c r="A95" s="294"/>
      <c r="B95" s="321"/>
      <c r="C95" s="203" t="s">
        <v>506</v>
      </c>
      <c r="D95" s="283" t="s">
        <v>17</v>
      </c>
      <c r="E95" s="273" t="s">
        <v>23</v>
      </c>
      <c r="F95" s="264" t="s">
        <v>476</v>
      </c>
      <c r="G95" s="193" t="s">
        <v>504</v>
      </c>
      <c r="H95" s="284"/>
      <c r="I95" s="238"/>
      <c r="J95" s="179"/>
      <c r="K95" s="179"/>
      <c r="L95" s="179"/>
      <c r="M95" s="179"/>
      <c r="N95" s="179"/>
      <c r="O95" s="179"/>
      <c r="P95" s="179"/>
      <c r="Q95" s="112"/>
      <c r="R95" s="26"/>
      <c r="S95" s="26"/>
      <c r="T95" s="26"/>
      <c r="U95" s="25"/>
      <c r="V95" s="25"/>
      <c r="W95" s="21"/>
      <c r="X95" s="25"/>
      <c r="Y95" s="25"/>
      <c r="Z95" s="25"/>
    </row>
    <row r="96" spans="1:26" ht="13.2">
      <c r="A96" s="295"/>
      <c r="B96" s="312"/>
      <c r="C96" s="203" t="s">
        <v>507</v>
      </c>
      <c r="D96" s="283" t="s">
        <v>17</v>
      </c>
      <c r="E96" s="273" t="s">
        <v>23</v>
      </c>
      <c r="F96" s="264" t="s">
        <v>476</v>
      </c>
      <c r="G96" s="193" t="s">
        <v>508</v>
      </c>
      <c r="H96" s="284"/>
      <c r="I96" s="238"/>
      <c r="J96" s="179"/>
      <c r="K96" s="179"/>
      <c r="L96" s="179"/>
      <c r="M96" s="179"/>
      <c r="N96" s="179"/>
      <c r="O96" s="179"/>
      <c r="P96" s="179"/>
      <c r="Q96" s="112"/>
      <c r="R96" s="26"/>
      <c r="S96" s="26"/>
      <c r="T96" s="26"/>
      <c r="U96" s="25"/>
      <c r="V96" s="25"/>
      <c r="W96" s="21"/>
      <c r="X96" s="25"/>
      <c r="Y96" s="25"/>
      <c r="Z96" s="25"/>
    </row>
    <row r="97" spans="1:26" ht="45.75" customHeight="1">
      <c r="A97" s="184" t="s">
        <v>409</v>
      </c>
      <c r="B97" s="196" t="s">
        <v>411</v>
      </c>
      <c r="C97" s="196" t="s">
        <v>410</v>
      </c>
      <c r="D97" s="177" t="s">
        <v>17</v>
      </c>
      <c r="E97" s="177"/>
      <c r="F97" s="270" t="s">
        <v>94</v>
      </c>
      <c r="G97" s="271" t="s">
        <v>412</v>
      </c>
      <c r="H97" s="272"/>
      <c r="I97" s="238"/>
      <c r="J97" s="179"/>
      <c r="K97" s="179"/>
      <c r="L97" s="179"/>
      <c r="M97" s="179"/>
      <c r="N97" s="179"/>
      <c r="O97" s="179"/>
      <c r="P97" s="179"/>
      <c r="Q97" s="112"/>
      <c r="R97" s="26" t="str">
        <f t="shared" si="12"/>
        <v>&lt;vul in&gt;</v>
      </c>
      <c r="S97" s="26"/>
      <c r="T97" s="26"/>
      <c r="U97" s="25"/>
      <c r="V97" s="25"/>
      <c r="X97" s="25"/>
      <c r="Y97" s="25"/>
      <c r="Z97" s="25" t="s">
        <v>23</v>
      </c>
    </row>
    <row r="98" spans="1:26" ht="13.2">
      <c r="A98" s="327" t="s">
        <v>12</v>
      </c>
      <c r="B98" s="319" t="s">
        <v>175</v>
      </c>
      <c r="C98" s="317" t="s">
        <v>176</v>
      </c>
      <c r="D98" s="189" t="s">
        <v>17</v>
      </c>
      <c r="E98" s="105" t="s">
        <v>17</v>
      </c>
      <c r="F98" s="210">
        <v>2026</v>
      </c>
      <c r="G98" s="175" t="s">
        <v>177</v>
      </c>
      <c r="H98" s="250"/>
      <c r="I98" s="121">
        <v>2</v>
      </c>
      <c r="J98" s="109">
        <v>1</v>
      </c>
      <c r="K98" s="109">
        <v>3</v>
      </c>
      <c r="L98" s="109">
        <v>1</v>
      </c>
      <c r="M98" s="109">
        <v>1</v>
      </c>
      <c r="N98" s="109">
        <v>0</v>
      </c>
      <c r="O98" s="109">
        <v>4</v>
      </c>
      <c r="P98" s="111">
        <v>1</v>
      </c>
      <c r="Q98" s="112">
        <f t="shared" ref="Q98:Q105" si="13">SUM(I98:P98)/COUNTIF(I98:P98,"&gt;0")</f>
        <v>1.8571428571428572</v>
      </c>
      <c r="R98" s="58"/>
      <c r="S98" s="47" t="s">
        <v>17</v>
      </c>
      <c r="T98" s="47" t="s">
        <v>17</v>
      </c>
      <c r="U98" s="25" t="s">
        <v>178</v>
      </c>
      <c r="V98" s="25" t="s">
        <v>95</v>
      </c>
      <c r="W98" s="26" t="s">
        <v>179</v>
      </c>
      <c r="X98" s="25" t="s">
        <v>180</v>
      </c>
      <c r="Y98" s="40">
        <v>46059</v>
      </c>
      <c r="Z98" s="25" t="s">
        <v>17</v>
      </c>
    </row>
    <row r="99" spans="1:26" ht="13.2">
      <c r="A99" s="334"/>
      <c r="B99" s="319"/>
      <c r="C99" s="349"/>
      <c r="D99" t="s">
        <v>17</v>
      </c>
      <c r="E99" s="105" t="s">
        <v>17</v>
      </c>
      <c r="F99" s="210">
        <v>2025</v>
      </c>
      <c r="G99" s="175" t="s">
        <v>181</v>
      </c>
      <c r="H99" s="250"/>
      <c r="I99" s="121">
        <v>2</v>
      </c>
      <c r="J99" s="109">
        <v>1</v>
      </c>
      <c r="K99" s="109">
        <v>3</v>
      </c>
      <c r="L99" s="109">
        <v>2</v>
      </c>
      <c r="M99" s="109">
        <v>1</v>
      </c>
      <c r="N99" s="109">
        <v>0</v>
      </c>
      <c r="O99" s="109">
        <v>4</v>
      </c>
      <c r="P99" s="111">
        <v>1</v>
      </c>
      <c r="Q99" s="112">
        <f t="shared" si="13"/>
        <v>2</v>
      </c>
      <c r="R99" s="58"/>
      <c r="S99" s="47"/>
      <c r="T99" s="47"/>
      <c r="U99" s="25"/>
      <c r="V99" s="25"/>
      <c r="W99" s="26"/>
      <c r="X99" s="25"/>
      <c r="Y99" s="40"/>
      <c r="Z99" s="25"/>
    </row>
    <row r="100" spans="1:26" ht="13.2">
      <c r="A100" s="334"/>
      <c r="B100" s="319"/>
      <c r="C100" s="318"/>
      <c r="D100" s="189" t="s">
        <v>17</v>
      </c>
      <c r="E100" s="105" t="s">
        <v>17</v>
      </c>
      <c r="F100" s="210">
        <v>2026</v>
      </c>
      <c r="G100" s="122" t="s">
        <v>182</v>
      </c>
      <c r="H100" s="251"/>
      <c r="I100" s="121">
        <v>2</v>
      </c>
      <c r="J100" s="109">
        <v>1</v>
      </c>
      <c r="K100" s="109">
        <v>3</v>
      </c>
      <c r="L100" s="109">
        <v>1</v>
      </c>
      <c r="M100" s="109">
        <v>1</v>
      </c>
      <c r="N100" s="109">
        <v>0</v>
      </c>
      <c r="O100" s="109">
        <v>4</v>
      </c>
      <c r="P100" s="111">
        <v>1</v>
      </c>
      <c r="Q100" s="112">
        <f t="shared" si="13"/>
        <v>1.8571428571428572</v>
      </c>
      <c r="R100" s="58"/>
      <c r="S100" s="47"/>
      <c r="T100" s="47"/>
      <c r="U100" s="25"/>
      <c r="V100" s="25"/>
      <c r="W100" s="26"/>
      <c r="X100" s="25"/>
      <c r="Y100" s="40"/>
      <c r="Z100" s="25"/>
    </row>
    <row r="101" spans="1:26" ht="13.2">
      <c r="A101" s="334"/>
      <c r="B101" s="319"/>
      <c r="C101" s="98" t="s">
        <v>183</v>
      </c>
      <c r="D101" s="189" t="s">
        <v>17</v>
      </c>
      <c r="E101" s="105" t="s">
        <v>17</v>
      </c>
      <c r="F101" s="210" t="s">
        <v>184</v>
      </c>
      <c r="G101" s="104" t="s">
        <v>185</v>
      </c>
      <c r="H101" s="240"/>
      <c r="I101" s="121">
        <v>2</v>
      </c>
      <c r="J101" s="109">
        <v>3</v>
      </c>
      <c r="K101" s="109">
        <v>2</v>
      </c>
      <c r="L101" s="109">
        <v>3</v>
      </c>
      <c r="M101" s="109">
        <v>2</v>
      </c>
      <c r="N101" s="109">
        <v>0</v>
      </c>
      <c r="O101" s="109">
        <v>1</v>
      </c>
      <c r="P101" s="109">
        <v>1</v>
      </c>
      <c r="Q101" s="112">
        <f t="shared" si="13"/>
        <v>2</v>
      </c>
      <c r="R101" s="26"/>
      <c r="S101" s="47" t="s">
        <v>17</v>
      </c>
      <c r="T101" s="47" t="s">
        <v>17</v>
      </c>
      <c r="U101" s="25" t="s">
        <v>186</v>
      </c>
      <c r="V101" s="25" t="s">
        <v>17</v>
      </c>
      <c r="W101" s="26" t="s">
        <v>187</v>
      </c>
      <c r="X101" s="25" t="s">
        <v>180</v>
      </c>
      <c r="Y101" s="40">
        <v>46059</v>
      </c>
      <c r="Z101" s="25" t="s">
        <v>17</v>
      </c>
    </row>
    <row r="102" spans="1:26" ht="13.2">
      <c r="A102" s="334"/>
      <c r="B102" s="319" t="s">
        <v>188</v>
      </c>
      <c r="C102" s="317" t="s">
        <v>176</v>
      </c>
      <c r="D102" s="189" t="s">
        <v>17</v>
      </c>
      <c r="E102" s="105" t="s">
        <v>17</v>
      </c>
      <c r="F102" s="210">
        <v>2026</v>
      </c>
      <c r="G102" s="175" t="s">
        <v>177</v>
      </c>
      <c r="H102" s="250"/>
      <c r="I102" s="121">
        <v>2</v>
      </c>
      <c r="J102" s="109">
        <v>1</v>
      </c>
      <c r="K102" s="109">
        <v>3</v>
      </c>
      <c r="L102" s="109">
        <v>1</v>
      </c>
      <c r="M102" s="109">
        <v>1</v>
      </c>
      <c r="N102" s="109">
        <v>0</v>
      </c>
      <c r="O102" s="109">
        <v>4</v>
      </c>
      <c r="P102" s="109">
        <v>1</v>
      </c>
      <c r="Q102" s="112">
        <f t="shared" si="13"/>
        <v>1.8571428571428572</v>
      </c>
      <c r="R102" s="26"/>
      <c r="S102" s="47" t="s">
        <v>17</v>
      </c>
      <c r="T102" s="47" t="s">
        <v>17</v>
      </c>
      <c r="U102" s="25" t="s">
        <v>178</v>
      </c>
      <c r="V102" s="25" t="s">
        <v>95</v>
      </c>
      <c r="W102" s="26" t="s">
        <v>179</v>
      </c>
      <c r="X102" s="25" t="s">
        <v>180</v>
      </c>
      <c r="Y102" s="40">
        <v>46059</v>
      </c>
      <c r="Z102" s="25" t="s">
        <v>17</v>
      </c>
    </row>
    <row r="103" spans="1:26" ht="13.2">
      <c r="A103" s="334"/>
      <c r="B103" s="320"/>
      <c r="C103" s="318"/>
      <c r="D103" t="s">
        <v>125</v>
      </c>
      <c r="E103" s="105" t="s">
        <v>17</v>
      </c>
      <c r="F103" s="210">
        <v>2025</v>
      </c>
      <c r="G103" s="175" t="s">
        <v>181</v>
      </c>
      <c r="H103" s="250"/>
      <c r="I103" s="121">
        <v>2</v>
      </c>
      <c r="J103" s="109">
        <v>1</v>
      </c>
      <c r="K103" s="109">
        <v>3</v>
      </c>
      <c r="L103" s="109">
        <v>2</v>
      </c>
      <c r="M103" s="109">
        <v>1</v>
      </c>
      <c r="N103" s="109">
        <v>0</v>
      </c>
      <c r="O103" s="109">
        <v>4</v>
      </c>
      <c r="P103" s="109">
        <v>1</v>
      </c>
      <c r="Q103" s="112">
        <f t="shared" si="13"/>
        <v>2</v>
      </c>
      <c r="R103" s="26"/>
      <c r="S103" s="47"/>
      <c r="T103" s="47"/>
      <c r="U103" s="25"/>
      <c r="V103" s="25"/>
      <c r="W103" s="26"/>
      <c r="X103" s="25"/>
      <c r="Y103" s="40"/>
      <c r="Z103" s="25"/>
    </row>
    <row r="104" spans="1:26" ht="13.2">
      <c r="A104" s="334"/>
      <c r="B104" s="320"/>
      <c r="C104" s="98" t="s">
        <v>189</v>
      </c>
      <c r="D104" s="189" t="s">
        <v>17</v>
      </c>
      <c r="E104" s="105" t="s">
        <v>17</v>
      </c>
      <c r="F104" s="210" t="s">
        <v>190</v>
      </c>
      <c r="G104" s="104" t="s">
        <v>191</v>
      </c>
      <c r="H104" s="240"/>
      <c r="I104" s="121">
        <v>1</v>
      </c>
      <c r="J104" s="109">
        <v>4</v>
      </c>
      <c r="K104" s="109">
        <v>4</v>
      </c>
      <c r="L104" s="109">
        <v>3</v>
      </c>
      <c r="M104" s="109">
        <v>2</v>
      </c>
      <c r="N104" s="109">
        <v>0</v>
      </c>
      <c r="O104" s="109">
        <v>1</v>
      </c>
      <c r="P104" s="109">
        <v>1</v>
      </c>
      <c r="Q104" s="112">
        <f t="shared" si="13"/>
        <v>2.2857142857142856</v>
      </c>
      <c r="R104" s="26"/>
      <c r="S104" s="47"/>
      <c r="T104" s="47"/>
      <c r="U104" s="25"/>
      <c r="V104" s="25"/>
      <c r="W104" s="26"/>
      <c r="X104" s="25"/>
      <c r="Y104" s="40">
        <v>46059</v>
      </c>
      <c r="Z104" s="43" t="s">
        <v>17</v>
      </c>
    </row>
    <row r="105" spans="1:26" ht="13.2">
      <c r="A105" s="334"/>
      <c r="B105" s="319"/>
      <c r="C105" s="317" t="s">
        <v>192</v>
      </c>
      <c r="D105" s="189" t="s">
        <v>17</v>
      </c>
      <c r="E105" s="105" t="s">
        <v>17</v>
      </c>
      <c r="F105" s="210">
        <v>2023</v>
      </c>
      <c r="G105" s="176" t="s">
        <v>193</v>
      </c>
      <c r="H105" s="252"/>
      <c r="I105" s="121">
        <v>2</v>
      </c>
      <c r="J105" s="109">
        <v>4</v>
      </c>
      <c r="K105" s="109">
        <v>4</v>
      </c>
      <c r="L105" s="109">
        <v>4</v>
      </c>
      <c r="M105" s="109">
        <v>2</v>
      </c>
      <c r="N105" s="109">
        <v>0</v>
      </c>
      <c r="O105" s="109">
        <v>1</v>
      </c>
      <c r="P105" s="109">
        <v>1</v>
      </c>
      <c r="Q105" s="112">
        <f t="shared" si="13"/>
        <v>2.5714285714285716</v>
      </c>
      <c r="R105" s="26"/>
      <c r="S105" s="47" t="s">
        <v>17</v>
      </c>
      <c r="T105" s="47" t="s">
        <v>17</v>
      </c>
      <c r="U105" s="25" t="s">
        <v>186</v>
      </c>
      <c r="V105" s="25" t="s">
        <v>17</v>
      </c>
      <c r="W105" s="26" t="s">
        <v>194</v>
      </c>
      <c r="X105" s="25" t="s">
        <v>180</v>
      </c>
      <c r="Y105" s="40">
        <v>46059</v>
      </c>
      <c r="Z105" s="25" t="s">
        <v>17</v>
      </c>
    </row>
    <row r="106" spans="1:26" ht="13.2">
      <c r="A106" s="334"/>
      <c r="B106" s="319"/>
      <c r="C106" s="318"/>
      <c r="D106" s="189" t="s">
        <v>17</v>
      </c>
      <c r="E106" s="105" t="s">
        <v>17</v>
      </c>
      <c r="F106" s="210">
        <v>2023</v>
      </c>
      <c r="G106" s="170" t="s">
        <v>195</v>
      </c>
      <c r="H106" s="247"/>
      <c r="I106" s="121">
        <v>2</v>
      </c>
      <c r="J106" s="109">
        <v>4</v>
      </c>
      <c r="K106" s="109">
        <v>4</v>
      </c>
      <c r="L106" s="109">
        <v>4</v>
      </c>
      <c r="M106" s="109">
        <v>2</v>
      </c>
      <c r="N106" s="109">
        <v>0</v>
      </c>
      <c r="O106" s="109">
        <v>1</v>
      </c>
      <c r="P106" s="109">
        <v>1</v>
      </c>
      <c r="Q106" s="112">
        <f>SUM(I106:P106)/COUNTIF(I106:P106,"&gt;0")</f>
        <v>2.5714285714285716</v>
      </c>
      <c r="R106" s="26"/>
      <c r="S106" s="47"/>
      <c r="T106" s="47"/>
      <c r="U106" s="25"/>
      <c r="V106" s="25"/>
      <c r="W106" s="26"/>
      <c r="X106" s="25"/>
      <c r="Y106" s="40"/>
    </row>
    <row r="107" spans="1:26" ht="13.2">
      <c r="A107" s="334"/>
      <c r="B107" s="319"/>
      <c r="C107" s="98" t="s">
        <v>196</v>
      </c>
      <c r="D107" s="189" t="s">
        <v>17</v>
      </c>
      <c r="E107" s="105" t="s">
        <v>17</v>
      </c>
      <c r="F107" s="210" t="s">
        <v>190</v>
      </c>
      <c r="G107" s="104" t="s">
        <v>191</v>
      </c>
      <c r="H107" s="240"/>
      <c r="I107" s="121">
        <v>1</v>
      </c>
      <c r="J107" s="109">
        <v>4</v>
      </c>
      <c r="K107" s="109">
        <v>2</v>
      </c>
      <c r="L107" s="109"/>
      <c r="M107" s="109">
        <v>2</v>
      </c>
      <c r="N107" s="109">
        <v>0</v>
      </c>
      <c r="O107" s="109">
        <v>1</v>
      </c>
      <c r="P107" s="109">
        <v>1</v>
      </c>
      <c r="Q107" s="112">
        <f>SUM(I107:P107)/COUNTIF(I107:P107,"&gt;0")</f>
        <v>1.8333333333333333</v>
      </c>
      <c r="R107" s="26"/>
      <c r="S107" s="47"/>
      <c r="T107" s="47"/>
      <c r="U107" s="25"/>
      <c r="V107" s="25"/>
      <c r="W107" s="26"/>
      <c r="X107" s="25"/>
      <c r="Y107" s="40">
        <v>46059</v>
      </c>
      <c r="Z107" t="s">
        <v>17</v>
      </c>
    </row>
    <row r="108" spans="1:26" ht="13.2">
      <c r="A108" s="334"/>
      <c r="B108" s="319"/>
      <c r="C108" s="343" t="s">
        <v>197</v>
      </c>
      <c r="D108" s="189" t="s">
        <v>17</v>
      </c>
      <c r="E108" s="105" t="s">
        <v>17</v>
      </c>
      <c r="F108" s="210">
        <v>2020</v>
      </c>
      <c r="G108" s="104" t="s">
        <v>198</v>
      </c>
      <c r="H108" s="240"/>
      <c r="I108" s="121">
        <v>2</v>
      </c>
      <c r="J108" s="109">
        <v>4</v>
      </c>
      <c r="K108" s="109">
        <v>5</v>
      </c>
      <c r="L108" s="109"/>
      <c r="M108" s="109">
        <v>4</v>
      </c>
      <c r="N108" s="109">
        <v>0</v>
      </c>
      <c r="O108" s="109">
        <v>2</v>
      </c>
      <c r="P108" s="109">
        <v>1</v>
      </c>
      <c r="Q108" s="112">
        <f>SUM(I108:P108)/COUNTIF(I108:P108,"&gt;0")</f>
        <v>3</v>
      </c>
      <c r="R108" s="26"/>
      <c r="S108" s="47"/>
      <c r="T108" s="47"/>
      <c r="U108" s="25"/>
      <c r="V108" s="25"/>
      <c r="W108" s="26"/>
      <c r="X108" s="25"/>
      <c r="Y108" s="40">
        <v>46059</v>
      </c>
      <c r="Z108" t="s">
        <v>17</v>
      </c>
    </row>
    <row r="109" spans="1:26" ht="13.2">
      <c r="A109" s="334"/>
      <c r="B109" s="319"/>
      <c r="C109" s="346"/>
      <c r="D109" s="208" t="s">
        <v>17</v>
      </c>
      <c r="E109" s="105" t="s">
        <v>17</v>
      </c>
      <c r="F109" s="210">
        <v>2025</v>
      </c>
      <c r="G109" s="104" t="s">
        <v>199</v>
      </c>
      <c r="H109" s="240"/>
      <c r="I109" s="121">
        <v>2</v>
      </c>
      <c r="J109" s="109">
        <v>2</v>
      </c>
      <c r="K109" s="109">
        <v>3</v>
      </c>
      <c r="L109" s="109"/>
      <c r="M109" s="109">
        <v>2</v>
      </c>
      <c r="N109" s="109">
        <v>0</v>
      </c>
      <c r="O109" s="109">
        <v>4</v>
      </c>
      <c r="P109" s="109">
        <v>1</v>
      </c>
      <c r="Q109" s="112">
        <f>SUM(I109:P109)/COUNTIF(I109:P109,"&gt;0")</f>
        <v>2.3333333333333335</v>
      </c>
      <c r="R109" s="26"/>
      <c r="S109" s="47"/>
      <c r="T109" s="47"/>
      <c r="U109" s="25"/>
      <c r="V109" s="25"/>
      <c r="W109" s="26"/>
      <c r="X109" s="25"/>
      <c r="Y109" s="40">
        <v>46059</v>
      </c>
      <c r="Z109" t="s">
        <v>17</v>
      </c>
    </row>
    <row r="110" spans="1:26" ht="13.2">
      <c r="A110" s="334"/>
      <c r="B110" s="339" t="s">
        <v>200</v>
      </c>
      <c r="C110" s="350" t="s">
        <v>470</v>
      </c>
      <c r="D110" s="105" t="s">
        <v>17</v>
      </c>
      <c r="E110" s="105" t="s">
        <v>17</v>
      </c>
      <c r="F110" s="210">
        <v>2024</v>
      </c>
      <c r="G110" s="193" t="s">
        <v>468</v>
      </c>
      <c r="H110" s="242"/>
      <c r="I110" s="232" t="s">
        <v>18</v>
      </c>
      <c r="J110" s="218" t="s">
        <v>18</v>
      </c>
      <c r="K110" s="218" t="s">
        <v>18</v>
      </c>
      <c r="L110" s="218" t="s">
        <v>18</v>
      </c>
      <c r="M110" s="218" t="s">
        <v>18</v>
      </c>
      <c r="N110" s="218" t="s">
        <v>18</v>
      </c>
      <c r="O110" s="218" t="s">
        <v>18</v>
      </c>
      <c r="P110" s="218" t="s">
        <v>18</v>
      </c>
      <c r="Q110" s="112"/>
      <c r="R110" s="26"/>
      <c r="S110" s="26"/>
      <c r="T110" s="26"/>
      <c r="U110" s="25"/>
      <c r="V110" s="25"/>
      <c r="W110" s="26"/>
      <c r="X110" s="25"/>
      <c r="Y110" s="42"/>
      <c r="Z110" t="s">
        <v>23</v>
      </c>
    </row>
    <row r="111" spans="1:26" ht="13.2">
      <c r="A111" s="334"/>
      <c r="B111" s="340"/>
      <c r="C111" s="351"/>
      <c r="D111" s="105" t="s">
        <v>17</v>
      </c>
      <c r="E111" s="105" t="s">
        <v>17</v>
      </c>
      <c r="F111" s="210">
        <v>2023</v>
      </c>
      <c r="G111" s="219" t="s">
        <v>177</v>
      </c>
      <c r="H111" s="250"/>
      <c r="I111" s="232" t="s">
        <v>18</v>
      </c>
      <c r="J111" s="218" t="s">
        <v>18</v>
      </c>
      <c r="K111" s="218" t="s">
        <v>18</v>
      </c>
      <c r="L111" s="218" t="s">
        <v>18</v>
      </c>
      <c r="M111" s="218" t="s">
        <v>18</v>
      </c>
      <c r="N111" s="218" t="s">
        <v>18</v>
      </c>
      <c r="O111" s="218" t="s">
        <v>18</v>
      </c>
      <c r="P111" s="218" t="s">
        <v>18</v>
      </c>
      <c r="Q111" s="112"/>
      <c r="R111" s="26"/>
      <c r="S111" s="26"/>
      <c r="T111" s="26"/>
      <c r="U111" s="25"/>
      <c r="V111" s="25"/>
      <c r="W111" s="26"/>
      <c r="X111" s="25"/>
      <c r="Y111" s="42"/>
      <c r="Z111"/>
    </row>
    <row r="112" spans="1:26" ht="13.2">
      <c r="A112" s="334"/>
      <c r="B112" s="340"/>
      <c r="C112" s="352"/>
      <c r="D112" s="105" t="s">
        <v>17</v>
      </c>
      <c r="E112" s="105" t="s">
        <v>17</v>
      </c>
      <c r="F112" s="210">
        <v>2026</v>
      </c>
      <c r="G112" s="219" t="s">
        <v>177</v>
      </c>
      <c r="H112" s="250"/>
      <c r="I112" s="232" t="s">
        <v>18</v>
      </c>
      <c r="J112" s="218" t="s">
        <v>18</v>
      </c>
      <c r="K112" s="218" t="s">
        <v>18</v>
      </c>
      <c r="L112" s="218" t="s">
        <v>18</v>
      </c>
      <c r="M112" s="218" t="s">
        <v>18</v>
      </c>
      <c r="N112" s="218" t="s">
        <v>18</v>
      </c>
      <c r="O112" s="218" t="s">
        <v>18</v>
      </c>
      <c r="P112" s="218" t="s">
        <v>18</v>
      </c>
      <c r="Q112" s="112"/>
      <c r="R112" s="26"/>
      <c r="S112" s="26"/>
      <c r="T112" s="26"/>
      <c r="U112" s="25"/>
      <c r="V112" s="25"/>
      <c r="W112" s="26"/>
      <c r="X112" s="25"/>
      <c r="Y112" s="42"/>
      <c r="Z112"/>
    </row>
    <row r="113" spans="1:26" ht="13.2">
      <c r="A113" s="334"/>
      <c r="B113" s="341"/>
      <c r="C113" s="350" t="s">
        <v>469</v>
      </c>
      <c r="D113" s="105" t="s">
        <v>17</v>
      </c>
      <c r="E113" s="105" t="s">
        <v>17</v>
      </c>
      <c r="F113" s="210">
        <v>2024</v>
      </c>
      <c r="G113" s="193" t="s">
        <v>468</v>
      </c>
      <c r="H113" s="242"/>
      <c r="I113" s="232" t="s">
        <v>18</v>
      </c>
      <c r="J113" s="218" t="s">
        <v>18</v>
      </c>
      <c r="K113" s="218" t="s">
        <v>18</v>
      </c>
      <c r="L113" s="218" t="s">
        <v>18</v>
      </c>
      <c r="M113" s="218" t="s">
        <v>18</v>
      </c>
      <c r="N113" s="218" t="s">
        <v>18</v>
      </c>
      <c r="O113" s="218" t="s">
        <v>18</v>
      </c>
      <c r="P113" s="218" t="s">
        <v>18</v>
      </c>
      <c r="Q113" s="112"/>
      <c r="R113" s="26"/>
      <c r="S113" s="26"/>
      <c r="T113" s="26"/>
      <c r="U113" s="25"/>
      <c r="V113" s="25"/>
      <c r="W113" s="26"/>
      <c r="X113" s="25"/>
      <c r="Y113" s="42"/>
      <c r="Z113" t="s">
        <v>23</v>
      </c>
    </row>
    <row r="114" spans="1:26" ht="13.2">
      <c r="A114" s="334"/>
      <c r="B114" s="341"/>
      <c r="C114" s="351"/>
      <c r="D114" s="105" t="s">
        <v>17</v>
      </c>
      <c r="E114" t="s">
        <v>17</v>
      </c>
      <c r="F114" s="210">
        <v>2023</v>
      </c>
      <c r="G114" s="219" t="s">
        <v>177</v>
      </c>
      <c r="H114" s="250"/>
      <c r="I114" s="232" t="s">
        <v>18</v>
      </c>
      <c r="J114" s="218" t="s">
        <v>18</v>
      </c>
      <c r="K114" s="218" t="s">
        <v>18</v>
      </c>
      <c r="L114" s="218" t="s">
        <v>18</v>
      </c>
      <c r="M114" s="218" t="s">
        <v>18</v>
      </c>
      <c r="N114" s="218" t="s">
        <v>18</v>
      </c>
      <c r="O114" s="218" t="s">
        <v>18</v>
      </c>
      <c r="P114" s="218" t="s">
        <v>18</v>
      </c>
      <c r="Q114" s="112"/>
      <c r="R114" s="26"/>
      <c r="S114" s="26"/>
      <c r="T114" s="26"/>
      <c r="U114" s="25"/>
      <c r="V114" s="25"/>
      <c r="W114" s="26"/>
      <c r="X114" s="25"/>
      <c r="Y114" s="42"/>
      <c r="Z114"/>
    </row>
    <row r="115" spans="1:26" ht="13.2">
      <c r="A115" s="334"/>
      <c r="B115" s="341"/>
      <c r="C115" s="352"/>
      <c r="D115" s="105" t="s">
        <v>17</v>
      </c>
      <c r="E115" t="s">
        <v>17</v>
      </c>
      <c r="F115" s="210">
        <v>2026</v>
      </c>
      <c r="G115" s="219" t="s">
        <v>177</v>
      </c>
      <c r="H115" s="250"/>
      <c r="I115" s="232" t="s">
        <v>18</v>
      </c>
      <c r="J115" s="218" t="s">
        <v>18</v>
      </c>
      <c r="K115" s="218" t="s">
        <v>18</v>
      </c>
      <c r="L115" s="218" t="s">
        <v>18</v>
      </c>
      <c r="M115" s="218" t="s">
        <v>18</v>
      </c>
      <c r="N115" s="218" t="s">
        <v>18</v>
      </c>
      <c r="O115" s="218" t="s">
        <v>18</v>
      </c>
      <c r="P115" s="218" t="s">
        <v>18</v>
      </c>
      <c r="Q115" s="112"/>
      <c r="R115" s="26"/>
      <c r="S115" s="26"/>
      <c r="T115" s="26"/>
      <c r="U115" s="25"/>
      <c r="V115" s="25"/>
      <c r="W115" s="26"/>
      <c r="X115" s="25"/>
      <c r="Y115" s="42"/>
      <c r="Z115"/>
    </row>
    <row r="116" spans="1:26" ht="13.2">
      <c r="A116" s="334"/>
      <c r="B116" s="341"/>
      <c r="C116" t="s">
        <v>456</v>
      </c>
      <c r="D116" s="136" t="s">
        <v>17</v>
      </c>
      <c r="E116" s="220" t="s">
        <v>17</v>
      </c>
      <c r="F116" s="210">
        <v>2016</v>
      </c>
      <c r="G116" s="193" t="s">
        <v>455</v>
      </c>
      <c r="H116" s="242"/>
      <c r="I116" s="121" t="s">
        <v>18</v>
      </c>
      <c r="J116" s="218" t="s">
        <v>18</v>
      </c>
      <c r="K116" s="218" t="s">
        <v>18</v>
      </c>
      <c r="L116" s="218" t="s">
        <v>18</v>
      </c>
      <c r="M116" s="218" t="s">
        <v>18</v>
      </c>
      <c r="N116" s="218" t="s">
        <v>18</v>
      </c>
      <c r="O116" s="218" t="s">
        <v>18</v>
      </c>
      <c r="P116" s="218" t="s">
        <v>18</v>
      </c>
      <c r="Q116" s="112"/>
      <c r="R116" s="26"/>
      <c r="S116" s="26"/>
      <c r="T116" s="26"/>
      <c r="U116" s="25"/>
      <c r="V116" s="25"/>
      <c r="W116" s="26"/>
      <c r="X116" s="25"/>
      <c r="Y116" s="42"/>
      <c r="Z116"/>
    </row>
    <row r="117" spans="1:26" ht="13.2">
      <c r="A117" s="334"/>
      <c r="B117" s="341"/>
      <c r="C117" t="s">
        <v>457</v>
      </c>
      <c r="D117" s="136" t="s">
        <v>17</v>
      </c>
      <c r="E117" s="221" t="s">
        <v>17</v>
      </c>
      <c r="F117" s="210">
        <v>2023</v>
      </c>
      <c r="G117" s="193" t="s">
        <v>459</v>
      </c>
      <c r="H117" s="242"/>
      <c r="I117" s="232" t="s">
        <v>18</v>
      </c>
      <c r="J117" s="218" t="s">
        <v>18</v>
      </c>
      <c r="K117" s="218" t="s">
        <v>18</v>
      </c>
      <c r="L117" s="218" t="s">
        <v>18</v>
      </c>
      <c r="M117" s="218" t="s">
        <v>18</v>
      </c>
      <c r="N117" s="218" t="s">
        <v>18</v>
      </c>
      <c r="O117" s="218" t="s">
        <v>18</v>
      </c>
      <c r="P117" s="218" t="s">
        <v>18</v>
      </c>
      <c r="Q117" s="112"/>
      <c r="R117" s="26"/>
      <c r="S117" s="26"/>
      <c r="T117" s="26"/>
      <c r="U117" s="25"/>
      <c r="V117" s="25"/>
      <c r="W117" s="26"/>
      <c r="X117" s="25"/>
      <c r="Y117" s="42"/>
      <c r="Z117"/>
    </row>
    <row r="118" spans="1:26" ht="13.2">
      <c r="A118" s="334"/>
      <c r="B118" s="341"/>
      <c r="C118" t="s">
        <v>458</v>
      </c>
      <c r="D118" s="136" t="s">
        <v>17</v>
      </c>
      <c r="E118" s="221" t="s">
        <v>17</v>
      </c>
      <c r="F118" s="210">
        <v>2023</v>
      </c>
      <c r="G118" s="193" t="s">
        <v>459</v>
      </c>
      <c r="H118" s="242"/>
      <c r="I118" s="232" t="s">
        <v>18</v>
      </c>
      <c r="J118" s="218" t="s">
        <v>18</v>
      </c>
      <c r="K118" s="218" t="s">
        <v>18</v>
      </c>
      <c r="L118" s="218" t="s">
        <v>18</v>
      </c>
      <c r="M118" s="218" t="s">
        <v>18</v>
      </c>
      <c r="N118" s="218" t="s">
        <v>18</v>
      </c>
      <c r="O118" s="218" t="s">
        <v>18</v>
      </c>
      <c r="P118" s="218" t="s">
        <v>18</v>
      </c>
      <c r="Q118" s="112"/>
      <c r="R118" s="26"/>
      <c r="S118" s="26"/>
      <c r="T118" s="26"/>
      <c r="U118" s="25"/>
      <c r="V118" s="25"/>
      <c r="W118" s="26"/>
      <c r="X118" s="25"/>
      <c r="Y118" s="42"/>
      <c r="Z118"/>
    </row>
    <row r="119" spans="1:26" ht="26.4">
      <c r="A119" s="334"/>
      <c r="B119" s="341"/>
      <c r="C119" s="205" t="s">
        <v>452</v>
      </c>
      <c r="D119" s="136" t="s">
        <v>17</v>
      </c>
      <c r="E119" s="220" t="s">
        <v>17</v>
      </c>
      <c r="F119" s="210" t="s">
        <v>450</v>
      </c>
      <c r="G119" s="204" t="s">
        <v>451</v>
      </c>
      <c r="H119" s="253"/>
      <c r="I119" s="232" t="s">
        <v>18</v>
      </c>
      <c r="J119" s="218" t="s">
        <v>18</v>
      </c>
      <c r="K119" s="218" t="s">
        <v>18</v>
      </c>
      <c r="L119" s="218" t="s">
        <v>18</v>
      </c>
      <c r="M119" s="218" t="s">
        <v>18</v>
      </c>
      <c r="N119" s="218" t="s">
        <v>18</v>
      </c>
      <c r="O119" s="218" t="s">
        <v>18</v>
      </c>
      <c r="P119" s="218" t="s">
        <v>18</v>
      </c>
      <c r="Q119" s="112"/>
      <c r="R119" s="26"/>
      <c r="S119" s="26"/>
      <c r="T119" s="26"/>
      <c r="U119" s="25"/>
      <c r="V119" s="25"/>
      <c r="W119" s="26"/>
      <c r="X119" s="25"/>
      <c r="Y119" s="42"/>
      <c r="Z119"/>
    </row>
    <row r="120" spans="1:26" ht="26.4">
      <c r="A120" s="335"/>
      <c r="B120" s="342"/>
      <c r="C120" s="205" t="s">
        <v>453</v>
      </c>
      <c r="D120" s="136" t="s">
        <v>17</v>
      </c>
      <c r="E120" s="220" t="s">
        <v>17</v>
      </c>
      <c r="F120" s="210">
        <v>2025</v>
      </c>
      <c r="G120" s="204" t="s">
        <v>454</v>
      </c>
      <c r="H120" s="253"/>
      <c r="I120" s="232" t="s">
        <v>18</v>
      </c>
      <c r="J120" s="218" t="s">
        <v>18</v>
      </c>
      <c r="K120" s="218" t="s">
        <v>18</v>
      </c>
      <c r="L120" s="218" t="s">
        <v>18</v>
      </c>
      <c r="M120" s="218" t="s">
        <v>18</v>
      </c>
      <c r="N120" s="218" t="s">
        <v>18</v>
      </c>
      <c r="O120" s="218" t="s">
        <v>18</v>
      </c>
      <c r="P120" s="218" t="s">
        <v>18</v>
      </c>
      <c r="Q120" s="112"/>
      <c r="R120" s="26"/>
      <c r="S120" s="26"/>
      <c r="T120" s="26"/>
      <c r="U120" s="25"/>
      <c r="V120" s="25"/>
      <c r="W120" s="26"/>
      <c r="X120" s="25"/>
      <c r="Y120" s="42"/>
      <c r="Z120"/>
    </row>
    <row r="121" spans="1:26" ht="13.2">
      <c r="A121" s="327" t="s">
        <v>11</v>
      </c>
      <c r="B121" s="319" t="s">
        <v>201</v>
      </c>
      <c r="C121" s="198" t="s">
        <v>202</v>
      </c>
      <c r="D121" s="104" t="s">
        <v>17</v>
      </c>
      <c r="E121" s="207"/>
      <c r="F121" s="210" t="str">
        <f>IF(D121="Nee","-","&lt;vul in&gt;")</f>
        <v>&lt;vul in&gt;</v>
      </c>
      <c r="G121" s="104"/>
      <c r="H121" s="240"/>
      <c r="I121" s="233"/>
      <c r="J121" s="110"/>
      <c r="K121" s="110"/>
      <c r="L121" s="110"/>
      <c r="M121" s="110"/>
      <c r="N121" s="110"/>
      <c r="O121" s="110"/>
      <c r="P121" s="110"/>
      <c r="Q121" s="112"/>
      <c r="R121" s="26"/>
      <c r="S121" s="26"/>
      <c r="T121" s="26"/>
      <c r="U121" s="43" t="s">
        <v>94</v>
      </c>
      <c r="V121" s="43" t="s">
        <v>17</v>
      </c>
      <c r="W121" s="45" t="s">
        <v>203</v>
      </c>
      <c r="X121" s="25" t="s">
        <v>204</v>
      </c>
      <c r="Y121" s="42">
        <v>45958</v>
      </c>
      <c r="Z121" s="43" t="s">
        <v>205</v>
      </c>
    </row>
    <row r="122" spans="1:26" ht="13.2">
      <c r="A122" s="334"/>
      <c r="B122" s="320"/>
      <c r="C122" s="347" t="s">
        <v>206</v>
      </c>
      <c r="D122" s="104" t="s">
        <v>17</v>
      </c>
      <c r="E122" s="207"/>
      <c r="F122" s="210">
        <v>2025</v>
      </c>
      <c r="G122" s="170" t="s">
        <v>207</v>
      </c>
      <c r="H122" s="247"/>
      <c r="I122" s="121">
        <v>1</v>
      </c>
      <c r="J122" s="109">
        <v>0</v>
      </c>
      <c r="K122" s="109">
        <v>0</v>
      </c>
      <c r="L122" s="109">
        <v>2</v>
      </c>
      <c r="M122" s="109">
        <v>0</v>
      </c>
      <c r="N122" s="109">
        <v>0</v>
      </c>
      <c r="O122" s="109">
        <v>3</v>
      </c>
      <c r="P122" s="109">
        <v>1</v>
      </c>
      <c r="Q122" s="112">
        <f t="shared" ref="Q122:Q137" si="14">SUM(I122:P122)/COUNTIF(I122:P122,"&gt;0")</f>
        <v>1.75</v>
      </c>
      <c r="R122" s="26"/>
      <c r="S122" s="26"/>
      <c r="T122" s="26"/>
      <c r="U122" s="43"/>
      <c r="V122" s="43"/>
      <c r="W122" s="45"/>
      <c r="X122" s="25"/>
      <c r="Y122" s="42"/>
      <c r="Z122" s="43"/>
    </row>
    <row r="123" spans="1:26" ht="13.2">
      <c r="A123" s="334"/>
      <c r="B123" s="320"/>
      <c r="C123" s="348"/>
      <c r="D123" s="104" t="s">
        <v>17</v>
      </c>
      <c r="E123" s="207"/>
      <c r="F123" s="210" t="s">
        <v>208</v>
      </c>
      <c r="G123" s="170" t="s">
        <v>209</v>
      </c>
      <c r="H123" s="247"/>
      <c r="I123" s="121">
        <v>1</v>
      </c>
      <c r="J123" s="109">
        <v>0</v>
      </c>
      <c r="K123" s="109">
        <v>0</v>
      </c>
      <c r="L123" s="109">
        <v>2</v>
      </c>
      <c r="M123" s="109">
        <v>0</v>
      </c>
      <c r="N123" s="109">
        <v>0</v>
      </c>
      <c r="O123" s="109">
        <v>1</v>
      </c>
      <c r="P123" s="109">
        <v>1</v>
      </c>
      <c r="Q123" s="112">
        <f t="shared" si="14"/>
        <v>1.25</v>
      </c>
      <c r="R123" s="26"/>
      <c r="S123" s="26"/>
      <c r="T123" s="26"/>
      <c r="U123" s="25" t="s">
        <v>210</v>
      </c>
      <c r="V123" s="25" t="s">
        <v>23</v>
      </c>
      <c r="W123" s="26"/>
      <c r="X123" s="25" t="s">
        <v>204</v>
      </c>
      <c r="Y123" s="42"/>
      <c r="Z123" s="25" t="s">
        <v>17</v>
      </c>
    </row>
    <row r="124" spans="1:26" ht="13.2">
      <c r="A124" s="334"/>
      <c r="B124" s="320"/>
      <c r="C124" s="345" t="s">
        <v>211</v>
      </c>
      <c r="D124" s="104" t="s">
        <v>17</v>
      </c>
      <c r="E124" s="207"/>
      <c r="F124" s="210">
        <v>2026</v>
      </c>
      <c r="G124" s="170" t="s">
        <v>195</v>
      </c>
      <c r="H124" s="247"/>
      <c r="I124" s="121">
        <v>1</v>
      </c>
      <c r="J124" s="109">
        <v>0</v>
      </c>
      <c r="K124" s="109">
        <v>0</v>
      </c>
      <c r="L124" s="109">
        <v>2</v>
      </c>
      <c r="M124" s="109">
        <v>0</v>
      </c>
      <c r="N124" s="109">
        <v>0</v>
      </c>
      <c r="O124" s="109">
        <v>1</v>
      </c>
      <c r="P124" s="109">
        <v>1</v>
      </c>
      <c r="Q124" s="112">
        <f t="shared" si="14"/>
        <v>1.25</v>
      </c>
      <c r="R124" s="26"/>
      <c r="S124" s="26"/>
      <c r="T124" s="26"/>
      <c r="U124" s="25"/>
      <c r="V124" s="25"/>
      <c r="W124" s="26"/>
      <c r="X124" s="25"/>
      <c r="Y124" s="42"/>
      <c r="Z124" s="25"/>
    </row>
    <row r="125" spans="1:26" ht="13.2">
      <c r="A125" s="334"/>
      <c r="B125" s="320"/>
      <c r="C125" s="345"/>
      <c r="D125" s="105" t="s">
        <v>212</v>
      </c>
      <c r="E125" s="206"/>
      <c r="F125" s="210">
        <v>2025</v>
      </c>
      <c r="G125" s="176" t="s">
        <v>213</v>
      </c>
      <c r="H125" s="252"/>
      <c r="I125" s="121">
        <v>1</v>
      </c>
      <c r="J125" s="109">
        <v>0</v>
      </c>
      <c r="K125" s="109">
        <v>0</v>
      </c>
      <c r="L125" s="109">
        <v>0</v>
      </c>
      <c r="M125" s="109">
        <v>0</v>
      </c>
      <c r="N125" s="109">
        <v>0</v>
      </c>
      <c r="O125" s="109">
        <v>0</v>
      </c>
      <c r="P125" s="109">
        <v>4</v>
      </c>
      <c r="Q125" s="112">
        <f t="shared" si="14"/>
        <v>2.5</v>
      </c>
      <c r="R125" s="26"/>
      <c r="S125" s="26"/>
      <c r="T125" s="26"/>
      <c r="U125" s="25"/>
      <c r="V125" s="25"/>
      <c r="W125" s="26"/>
      <c r="X125" s="25"/>
      <c r="Y125" s="42"/>
      <c r="Z125" s="25"/>
    </row>
    <row r="126" spans="1:26" ht="13.2">
      <c r="A126" s="334"/>
      <c r="B126" s="320"/>
      <c r="C126" s="346"/>
      <c r="D126" s="222" t="s">
        <v>212</v>
      </c>
      <c r="E126" s="223"/>
      <c r="F126" s="211">
        <v>2025</v>
      </c>
      <c r="G126" s="176" t="s">
        <v>214</v>
      </c>
      <c r="H126" s="252"/>
      <c r="I126" s="121">
        <v>1</v>
      </c>
      <c r="J126" s="109">
        <v>0</v>
      </c>
      <c r="K126" s="109">
        <v>0</v>
      </c>
      <c r="L126" s="109">
        <v>0</v>
      </c>
      <c r="M126" s="109">
        <v>0</v>
      </c>
      <c r="N126" s="109">
        <v>0</v>
      </c>
      <c r="O126" s="109">
        <v>0</v>
      </c>
      <c r="P126" s="109">
        <v>3</v>
      </c>
      <c r="Q126" s="112">
        <f t="shared" si="14"/>
        <v>2</v>
      </c>
      <c r="R126" s="26"/>
      <c r="S126" s="26"/>
      <c r="T126" s="26"/>
      <c r="U126" s="25"/>
      <c r="V126" s="25"/>
      <c r="W126" s="26"/>
      <c r="X126" s="25"/>
      <c r="Y126" s="42"/>
      <c r="Z126" s="25"/>
    </row>
    <row r="127" spans="1:26" ht="13.2">
      <c r="A127" s="334"/>
      <c r="B127" s="336"/>
      <c r="C127" s="344"/>
      <c r="D127" s="105" t="s">
        <v>212</v>
      </c>
      <c r="E127" s="105"/>
      <c r="F127" s="213">
        <v>2025</v>
      </c>
      <c r="G127" s="176" t="s">
        <v>215</v>
      </c>
      <c r="H127" s="252"/>
      <c r="I127" s="121">
        <v>1</v>
      </c>
      <c r="J127" s="109">
        <v>0</v>
      </c>
      <c r="K127" s="109">
        <v>0</v>
      </c>
      <c r="L127" s="109">
        <v>0</v>
      </c>
      <c r="M127" s="109">
        <v>0</v>
      </c>
      <c r="N127" s="109">
        <v>0</v>
      </c>
      <c r="O127" s="109">
        <v>0</v>
      </c>
      <c r="P127" s="109">
        <v>3</v>
      </c>
      <c r="Q127" s="112">
        <f t="shared" si="14"/>
        <v>2</v>
      </c>
      <c r="R127" s="26"/>
      <c r="S127" s="26"/>
      <c r="T127" s="26"/>
      <c r="U127" s="25" t="s">
        <v>186</v>
      </c>
      <c r="V127" s="25" t="s">
        <v>95</v>
      </c>
      <c r="W127" s="26"/>
      <c r="X127" s="25" t="s">
        <v>204</v>
      </c>
      <c r="Y127" s="42">
        <v>45958</v>
      </c>
      <c r="Z127" s="25" t="s">
        <v>17</v>
      </c>
    </row>
    <row r="128" spans="1:26" ht="13.2">
      <c r="A128" s="334"/>
      <c r="B128" s="319" t="s">
        <v>216</v>
      </c>
      <c r="C128" s="343" t="s">
        <v>217</v>
      </c>
      <c r="D128" s="104" t="s">
        <v>17</v>
      </c>
      <c r="E128" s="104"/>
      <c r="F128" s="213">
        <v>2025</v>
      </c>
      <c r="G128" s="176" t="s">
        <v>218</v>
      </c>
      <c r="H128" s="252"/>
      <c r="I128" s="121">
        <v>1</v>
      </c>
      <c r="J128" s="109">
        <v>0</v>
      </c>
      <c r="K128" s="109">
        <v>0</v>
      </c>
      <c r="L128" s="109">
        <v>2</v>
      </c>
      <c r="M128" s="109">
        <v>0</v>
      </c>
      <c r="N128" s="109">
        <v>0</v>
      </c>
      <c r="O128" s="109">
        <v>1</v>
      </c>
      <c r="P128" s="109">
        <v>1</v>
      </c>
      <c r="Q128" s="112">
        <f t="shared" si="14"/>
        <v>1.25</v>
      </c>
      <c r="R128" s="26"/>
      <c r="S128" s="26"/>
      <c r="T128" s="26"/>
      <c r="U128" s="25" t="s">
        <v>210</v>
      </c>
      <c r="V128" s="25" t="s">
        <v>23</v>
      </c>
      <c r="W128" s="26"/>
      <c r="X128" s="25"/>
      <c r="Y128" s="25"/>
      <c r="Z128" s="25" t="s">
        <v>23</v>
      </c>
    </row>
    <row r="129" spans="1:26" ht="13.2">
      <c r="A129" s="334"/>
      <c r="B129" s="320"/>
      <c r="C129" s="344"/>
      <c r="D129" s="104" t="s">
        <v>17</v>
      </c>
      <c r="E129" s="104"/>
      <c r="F129" s="226" t="s">
        <v>219</v>
      </c>
      <c r="G129" s="170" t="s">
        <v>220</v>
      </c>
      <c r="H129" s="247"/>
      <c r="I129" s="121">
        <v>1</v>
      </c>
      <c r="J129" s="109">
        <v>0</v>
      </c>
      <c r="K129" s="109">
        <v>0</v>
      </c>
      <c r="L129" s="109">
        <v>1</v>
      </c>
      <c r="M129" s="109">
        <v>0</v>
      </c>
      <c r="N129" s="109">
        <v>0</v>
      </c>
      <c r="O129" s="109">
        <v>1</v>
      </c>
      <c r="P129" s="109">
        <v>1</v>
      </c>
      <c r="Q129" s="112">
        <f t="shared" si="14"/>
        <v>1</v>
      </c>
      <c r="R129" s="26"/>
      <c r="S129" s="26"/>
      <c r="T129" s="26"/>
      <c r="U129" s="25"/>
      <c r="V129" s="25"/>
      <c r="W129" s="26"/>
      <c r="X129" s="25"/>
      <c r="Y129" s="25"/>
      <c r="Z129" s="25"/>
    </row>
    <row r="130" spans="1:26" ht="13.2">
      <c r="A130" s="334"/>
      <c r="B130" s="338"/>
      <c r="C130" s="343" t="s">
        <v>221</v>
      </c>
      <c r="D130" s="104" t="s">
        <v>17</v>
      </c>
      <c r="E130" s="104"/>
      <c r="F130" s="226" t="s">
        <v>208</v>
      </c>
      <c r="G130" s="170" t="s">
        <v>222</v>
      </c>
      <c r="H130" s="247"/>
      <c r="I130" s="121">
        <v>1</v>
      </c>
      <c r="J130" s="109">
        <v>0</v>
      </c>
      <c r="K130" s="109">
        <v>0</v>
      </c>
      <c r="L130" s="109">
        <v>2</v>
      </c>
      <c r="M130" s="109">
        <v>0</v>
      </c>
      <c r="N130" s="109">
        <v>0</v>
      </c>
      <c r="O130" s="109">
        <v>1</v>
      </c>
      <c r="P130" s="109">
        <v>1</v>
      </c>
      <c r="Q130" s="112">
        <f t="shared" si="14"/>
        <v>1.25</v>
      </c>
      <c r="R130" s="26"/>
      <c r="S130" s="26"/>
      <c r="T130" s="26"/>
      <c r="U130" s="25" t="s">
        <v>186</v>
      </c>
      <c r="V130" s="25" t="s">
        <v>95</v>
      </c>
      <c r="W130" s="26"/>
      <c r="X130" s="25" t="s">
        <v>204</v>
      </c>
      <c r="Y130" s="40">
        <v>45944</v>
      </c>
      <c r="Z130" s="25" t="s">
        <v>17</v>
      </c>
    </row>
    <row r="131" spans="1:26" ht="13.2">
      <c r="A131" s="334"/>
      <c r="B131" s="338"/>
      <c r="C131" s="344"/>
      <c r="D131" s="104" t="s">
        <v>17</v>
      </c>
      <c r="E131" s="104"/>
      <c r="F131" s="227" t="s">
        <v>208</v>
      </c>
      <c r="G131" s="170" t="s">
        <v>209</v>
      </c>
      <c r="H131" s="247"/>
      <c r="I131" s="121">
        <v>1</v>
      </c>
      <c r="J131" s="109">
        <v>0</v>
      </c>
      <c r="K131" s="109">
        <v>0</v>
      </c>
      <c r="L131" s="109">
        <v>2</v>
      </c>
      <c r="M131" s="109">
        <v>0</v>
      </c>
      <c r="N131" s="109">
        <v>0</v>
      </c>
      <c r="O131" s="109">
        <v>1</v>
      </c>
      <c r="P131" s="109">
        <v>1</v>
      </c>
      <c r="Q131" s="112">
        <f t="shared" si="14"/>
        <v>1.25</v>
      </c>
      <c r="R131" s="26"/>
      <c r="S131" s="26"/>
      <c r="T131" s="26"/>
      <c r="U131" s="25" t="s">
        <v>186</v>
      </c>
      <c r="V131" s="25" t="s">
        <v>95</v>
      </c>
      <c r="W131" s="26"/>
      <c r="X131" s="25" t="s">
        <v>204</v>
      </c>
      <c r="Y131" s="40">
        <v>45944</v>
      </c>
      <c r="Z131" s="25" t="s">
        <v>17</v>
      </c>
    </row>
    <row r="132" spans="1:26" ht="13.2">
      <c r="A132" s="334"/>
      <c r="B132" s="336"/>
      <c r="C132" s="98" t="s">
        <v>223</v>
      </c>
      <c r="D132" s="104" t="s">
        <v>17</v>
      </c>
      <c r="E132" s="104"/>
      <c r="F132" s="227" t="s">
        <v>219</v>
      </c>
      <c r="G132" s="176" t="s">
        <v>224</v>
      </c>
      <c r="H132" s="252"/>
      <c r="I132" s="121">
        <v>1</v>
      </c>
      <c r="J132" s="109">
        <v>0</v>
      </c>
      <c r="K132" s="109">
        <v>0</v>
      </c>
      <c r="L132" s="109">
        <v>1</v>
      </c>
      <c r="M132" s="109">
        <v>0</v>
      </c>
      <c r="N132" s="109">
        <v>0</v>
      </c>
      <c r="O132" s="109">
        <v>2</v>
      </c>
      <c r="P132" s="109">
        <v>2</v>
      </c>
      <c r="Q132" s="112">
        <f t="shared" si="14"/>
        <v>1.5</v>
      </c>
      <c r="R132" s="26"/>
      <c r="S132" s="26"/>
      <c r="T132" s="26"/>
      <c r="U132" s="25" t="s">
        <v>210</v>
      </c>
      <c r="V132" s="25" t="s">
        <v>23</v>
      </c>
      <c r="W132" s="26"/>
      <c r="X132" s="25"/>
      <c r="Y132" s="25"/>
      <c r="Z132" s="25" t="s">
        <v>23</v>
      </c>
    </row>
    <row r="133" spans="1:26" ht="21" customHeight="1">
      <c r="A133" s="334"/>
      <c r="B133" s="319" t="s">
        <v>225</v>
      </c>
      <c r="C133" s="343" t="s">
        <v>226</v>
      </c>
      <c r="D133" s="104" t="s">
        <v>17</v>
      </c>
      <c r="E133" s="104"/>
      <c r="F133" s="226" t="s">
        <v>190</v>
      </c>
      <c r="G133" s="105" t="s">
        <v>227</v>
      </c>
      <c r="H133" s="254"/>
      <c r="I133" s="121">
        <v>3</v>
      </c>
      <c r="J133" s="109">
        <v>0</v>
      </c>
      <c r="K133" s="109">
        <v>0</v>
      </c>
      <c r="L133" s="109">
        <v>2</v>
      </c>
      <c r="M133" s="109">
        <v>0</v>
      </c>
      <c r="N133" s="109">
        <v>0</v>
      </c>
      <c r="O133" s="109">
        <v>2</v>
      </c>
      <c r="P133" s="109">
        <v>1</v>
      </c>
      <c r="Q133" s="112">
        <f t="shared" si="14"/>
        <v>2</v>
      </c>
      <c r="R133" s="26"/>
      <c r="S133" s="26"/>
      <c r="T133" s="26"/>
      <c r="U133" s="25" t="s">
        <v>210</v>
      </c>
      <c r="V133" s="25" t="s">
        <v>23</v>
      </c>
      <c r="W133" s="26" t="s">
        <v>228</v>
      </c>
      <c r="X133" s="25" t="s">
        <v>204</v>
      </c>
      <c r="Y133" s="42"/>
      <c r="Z133" s="25" t="s">
        <v>17</v>
      </c>
    </row>
    <row r="134" spans="1:26" ht="21" customHeight="1">
      <c r="A134" s="334"/>
      <c r="B134" s="320"/>
      <c r="C134" s="344"/>
      <c r="D134" s="105" t="s">
        <v>17</v>
      </c>
      <c r="E134" s="105"/>
      <c r="F134" s="227" t="s">
        <v>208</v>
      </c>
      <c r="G134" s="176" t="s">
        <v>229</v>
      </c>
      <c r="H134" s="252"/>
      <c r="I134" s="121">
        <v>2</v>
      </c>
      <c r="J134" s="109">
        <v>0</v>
      </c>
      <c r="K134" s="109">
        <v>0</v>
      </c>
      <c r="L134" s="109">
        <v>3</v>
      </c>
      <c r="M134" s="109">
        <v>0</v>
      </c>
      <c r="N134" s="109">
        <v>0</v>
      </c>
      <c r="O134" s="109">
        <v>2</v>
      </c>
      <c r="P134" s="109">
        <v>1</v>
      </c>
      <c r="Q134" s="112">
        <f t="shared" si="14"/>
        <v>2</v>
      </c>
      <c r="R134" s="26"/>
      <c r="S134" s="26"/>
      <c r="T134" s="26"/>
      <c r="U134" s="25"/>
      <c r="V134" s="25"/>
      <c r="W134" s="26"/>
      <c r="X134" s="25"/>
      <c r="Y134" s="42"/>
      <c r="Z134" s="25"/>
    </row>
    <row r="135" spans="1:26" ht="21" customHeight="1">
      <c r="A135" s="334"/>
      <c r="B135" s="320"/>
      <c r="C135" s="343" t="s">
        <v>230</v>
      </c>
      <c r="D135" s="104" t="s">
        <v>17</v>
      </c>
      <c r="E135" s="104"/>
      <c r="F135" s="226" t="s">
        <v>190</v>
      </c>
      <c r="G135" s="176" t="s">
        <v>224</v>
      </c>
      <c r="H135" s="252"/>
      <c r="I135" s="121">
        <v>1</v>
      </c>
      <c r="J135" s="109">
        <v>0</v>
      </c>
      <c r="K135" s="109">
        <v>0</v>
      </c>
      <c r="L135" s="109">
        <v>2</v>
      </c>
      <c r="M135" s="109">
        <v>0</v>
      </c>
      <c r="N135" s="109">
        <v>0</v>
      </c>
      <c r="O135" s="109">
        <v>2</v>
      </c>
      <c r="P135" s="109">
        <v>2</v>
      </c>
      <c r="Q135" s="112">
        <f t="shared" si="14"/>
        <v>1.75</v>
      </c>
      <c r="R135" s="26"/>
      <c r="S135" s="26"/>
      <c r="T135" s="26"/>
      <c r="U135" s="25" t="s">
        <v>210</v>
      </c>
      <c r="V135" s="25" t="s">
        <v>23</v>
      </c>
      <c r="W135" s="26"/>
      <c r="X135" s="25"/>
      <c r="Y135" s="25"/>
      <c r="Z135" s="25" t="s">
        <v>23</v>
      </c>
    </row>
    <row r="136" spans="1:26" ht="21" customHeight="1">
      <c r="A136" s="334"/>
      <c r="B136" s="337"/>
      <c r="C136" s="344"/>
      <c r="D136" s="104" t="s">
        <v>17</v>
      </c>
      <c r="E136" s="104"/>
      <c r="F136" s="213">
        <v>2024</v>
      </c>
      <c r="G136" s="176" t="s">
        <v>231</v>
      </c>
      <c r="H136" s="252"/>
      <c r="I136" s="121">
        <v>2</v>
      </c>
      <c r="J136" s="109">
        <v>0</v>
      </c>
      <c r="K136" s="109">
        <v>0</v>
      </c>
      <c r="L136" s="109">
        <v>3</v>
      </c>
      <c r="M136" s="109">
        <v>0</v>
      </c>
      <c r="N136" s="109">
        <v>0</v>
      </c>
      <c r="O136" s="109">
        <v>2</v>
      </c>
      <c r="P136" s="109">
        <v>2</v>
      </c>
      <c r="Q136" s="112">
        <f t="shared" si="14"/>
        <v>2.25</v>
      </c>
      <c r="R136" s="26"/>
      <c r="S136" s="26"/>
      <c r="T136" s="26"/>
      <c r="U136" s="25"/>
      <c r="V136" s="25"/>
      <c r="W136" s="26"/>
      <c r="X136" s="25"/>
      <c r="Y136" s="25"/>
      <c r="Z136" s="25"/>
    </row>
    <row r="137" spans="1:26" ht="13.2">
      <c r="A137" s="334"/>
      <c r="B137" s="319" t="s">
        <v>232</v>
      </c>
      <c r="C137" s="98" t="s">
        <v>233</v>
      </c>
      <c r="D137" s="104" t="s">
        <v>17</v>
      </c>
      <c r="E137" s="104"/>
      <c r="F137" s="213">
        <v>2025</v>
      </c>
      <c r="G137" s="176" t="s">
        <v>234</v>
      </c>
      <c r="H137" s="252"/>
      <c r="I137" s="121">
        <v>1</v>
      </c>
      <c r="J137" s="109">
        <v>0</v>
      </c>
      <c r="K137" s="109">
        <v>0</v>
      </c>
      <c r="L137" s="109">
        <v>2</v>
      </c>
      <c r="M137" s="109">
        <v>0</v>
      </c>
      <c r="N137" s="109">
        <v>0</v>
      </c>
      <c r="O137" s="109">
        <v>1</v>
      </c>
      <c r="P137" s="109">
        <v>1</v>
      </c>
      <c r="Q137" s="112">
        <f t="shared" si="14"/>
        <v>1.25</v>
      </c>
      <c r="R137" s="26"/>
      <c r="S137" s="26"/>
      <c r="T137" s="26"/>
      <c r="U137" s="25" t="s">
        <v>186</v>
      </c>
      <c r="V137" s="25" t="s">
        <v>23</v>
      </c>
      <c r="W137" s="26"/>
      <c r="X137" s="25"/>
      <c r="Y137" s="25"/>
      <c r="Z137" s="25" t="s">
        <v>23</v>
      </c>
    </row>
    <row r="138" spans="1:26" ht="13.2">
      <c r="A138" s="334"/>
      <c r="B138" s="336"/>
      <c r="C138" s="98" t="s">
        <v>235</v>
      </c>
      <c r="D138" s="104" t="s">
        <v>17</v>
      </c>
      <c r="E138" s="104"/>
      <c r="F138" s="226" t="s">
        <v>219</v>
      </c>
      <c r="G138" s="176" t="s">
        <v>224</v>
      </c>
      <c r="H138" s="252"/>
      <c r="I138" s="121">
        <v>1</v>
      </c>
      <c r="J138" s="109">
        <v>0</v>
      </c>
      <c r="K138" s="109">
        <v>0</v>
      </c>
      <c r="L138" s="109">
        <v>1</v>
      </c>
      <c r="M138" s="109">
        <v>0</v>
      </c>
      <c r="N138" s="109">
        <v>0</v>
      </c>
      <c r="O138" s="109">
        <v>2</v>
      </c>
      <c r="P138" s="109">
        <v>2</v>
      </c>
      <c r="Q138" s="112"/>
      <c r="R138" s="26"/>
      <c r="S138" s="26"/>
      <c r="T138" s="26"/>
      <c r="U138" s="25" t="s">
        <v>210</v>
      </c>
      <c r="V138" s="25" t="s">
        <v>23</v>
      </c>
      <c r="W138" s="26"/>
      <c r="X138" s="25"/>
      <c r="Y138" s="25"/>
      <c r="Z138" s="25" t="s">
        <v>23</v>
      </c>
    </row>
    <row r="139" spans="1:26" ht="13.2">
      <c r="A139" s="335"/>
      <c r="B139" s="87"/>
      <c r="C139" s="98"/>
      <c r="D139" s="104"/>
      <c r="E139" s="104"/>
      <c r="F139" s="226" t="s">
        <v>190</v>
      </c>
      <c r="G139" s="176" t="s">
        <v>236</v>
      </c>
      <c r="H139" s="252"/>
      <c r="I139" s="121">
        <v>1</v>
      </c>
      <c r="J139" s="109">
        <v>0</v>
      </c>
      <c r="K139" s="109">
        <v>0</v>
      </c>
      <c r="L139" s="109">
        <v>2</v>
      </c>
      <c r="M139" s="109">
        <v>0</v>
      </c>
      <c r="N139" s="109">
        <v>0</v>
      </c>
      <c r="O139" s="109">
        <v>1</v>
      </c>
      <c r="P139" s="109">
        <v>2</v>
      </c>
      <c r="Q139" s="112"/>
      <c r="R139" s="26"/>
      <c r="S139" s="26"/>
      <c r="T139" s="26"/>
      <c r="U139" t="s">
        <v>186</v>
      </c>
      <c r="V139" s="25"/>
      <c r="W139" s="26"/>
      <c r="X139" s="25"/>
      <c r="Y139" s="25"/>
      <c r="Z139" s="25"/>
    </row>
    <row r="140" spans="1:26" ht="13.2">
      <c r="A140" s="332" t="s">
        <v>238</v>
      </c>
      <c r="B140" s="48" t="s">
        <v>239</v>
      </c>
      <c r="C140" s="99" t="s">
        <v>240</v>
      </c>
      <c r="D140" s="106"/>
      <c r="E140" s="106"/>
      <c r="F140" s="228" t="s">
        <v>184</v>
      </c>
      <c r="G140" s="106" t="s">
        <v>185</v>
      </c>
      <c r="H140" s="255"/>
      <c r="I140" s="102"/>
      <c r="J140" s="51"/>
      <c r="K140" s="51"/>
      <c r="L140" s="51"/>
      <c r="M140" s="51"/>
      <c r="N140" s="51"/>
      <c r="O140" s="51"/>
      <c r="P140" s="51"/>
      <c r="Q140" s="51"/>
      <c r="R140" s="51"/>
      <c r="S140" s="51"/>
      <c r="T140" s="51"/>
      <c r="U140" s="50" t="s">
        <v>186</v>
      </c>
      <c r="V140" s="50" t="s">
        <v>95</v>
      </c>
      <c r="W140" s="51"/>
      <c r="X140" s="50" t="s">
        <v>180</v>
      </c>
      <c r="Y140" s="52">
        <v>45944</v>
      </c>
      <c r="Z140" s="50" t="s">
        <v>17</v>
      </c>
    </row>
    <row r="141" spans="1:26" ht="13.2">
      <c r="A141" s="333"/>
      <c r="B141" s="48" t="s">
        <v>239</v>
      </c>
      <c r="C141" s="99" t="s">
        <v>241</v>
      </c>
      <c r="D141" s="106"/>
      <c r="E141" s="106"/>
      <c r="F141" s="229" t="s">
        <v>242</v>
      </c>
      <c r="G141" s="106" t="s">
        <v>243</v>
      </c>
      <c r="H141" s="255"/>
      <c r="I141" s="102"/>
      <c r="J141" s="51"/>
      <c r="K141" s="51"/>
      <c r="L141" s="51"/>
      <c r="M141" s="51"/>
      <c r="N141" s="51"/>
      <c r="O141" s="51"/>
      <c r="P141" s="51"/>
      <c r="Q141" s="51"/>
      <c r="R141" s="51"/>
      <c r="S141" s="51"/>
      <c r="T141" s="51"/>
      <c r="U141" s="50" t="s">
        <v>186</v>
      </c>
      <c r="V141" s="50" t="s">
        <v>95</v>
      </c>
      <c r="W141" s="51"/>
      <c r="X141" s="50" t="s">
        <v>180</v>
      </c>
      <c r="Y141" s="52">
        <v>45944</v>
      </c>
      <c r="Z141" s="50" t="s">
        <v>17</v>
      </c>
    </row>
    <row r="142" spans="1:26" ht="26.4">
      <c r="A142" s="333"/>
      <c r="B142" s="48" t="s">
        <v>244</v>
      </c>
      <c r="C142" s="99" t="s">
        <v>245</v>
      </c>
      <c r="D142" s="106"/>
      <c r="E142" s="106"/>
      <c r="F142" s="228" t="str">
        <f>IF(D142="Nee","-","&lt;vul in&gt;")</f>
        <v>&lt;vul in&gt;</v>
      </c>
      <c r="G142" s="106" t="s">
        <v>246</v>
      </c>
      <c r="H142" s="255"/>
      <c r="I142" s="102"/>
      <c r="J142" s="51"/>
      <c r="K142" s="51"/>
      <c r="L142" s="51"/>
      <c r="M142" s="51"/>
      <c r="N142" s="51"/>
      <c r="O142" s="51"/>
      <c r="P142" s="51"/>
      <c r="Q142" s="51"/>
      <c r="R142" s="51"/>
      <c r="S142" s="51"/>
      <c r="T142" s="51"/>
      <c r="U142" s="50" t="s">
        <v>186</v>
      </c>
      <c r="V142" s="50" t="s">
        <v>95</v>
      </c>
      <c r="W142" s="51"/>
      <c r="X142" s="50" t="s">
        <v>180</v>
      </c>
      <c r="Y142" s="52">
        <v>45944</v>
      </c>
      <c r="Z142" s="50" t="s">
        <v>17</v>
      </c>
    </row>
    <row r="143" spans="1:26" ht="26.4">
      <c r="A143" s="333"/>
      <c r="B143" s="48" t="s">
        <v>28</v>
      </c>
      <c r="C143" s="99" t="s">
        <v>247</v>
      </c>
      <c r="D143" s="224"/>
      <c r="E143" s="225"/>
      <c r="F143" s="230" t="s">
        <v>248</v>
      </c>
      <c r="G143" s="106" t="s">
        <v>249</v>
      </c>
      <c r="H143" s="255"/>
      <c r="I143" s="102"/>
      <c r="J143" s="51"/>
      <c r="K143" s="51"/>
      <c r="L143" s="51"/>
      <c r="M143" s="51"/>
      <c r="N143" s="51"/>
      <c r="O143" s="51"/>
      <c r="P143" s="51"/>
      <c r="Q143" s="51"/>
      <c r="R143" s="51"/>
      <c r="S143" s="51"/>
      <c r="T143" s="51"/>
      <c r="U143" s="50" t="s">
        <v>186</v>
      </c>
      <c r="V143" s="50" t="s">
        <v>95</v>
      </c>
      <c r="W143" s="51"/>
      <c r="X143" s="50" t="s">
        <v>180</v>
      </c>
      <c r="Y143" s="52">
        <v>45944</v>
      </c>
      <c r="Z143" s="50" t="s">
        <v>17</v>
      </c>
    </row>
    <row r="144" spans="1:26" ht="39.6">
      <c r="A144" s="333"/>
      <c r="B144" s="48" t="s">
        <v>26</v>
      </c>
      <c r="C144" s="100" t="s">
        <v>250</v>
      </c>
      <c r="D144" s="190"/>
      <c r="E144" s="106"/>
      <c r="F144" s="231">
        <v>2024</v>
      </c>
      <c r="G144" s="106" t="s">
        <v>251</v>
      </c>
      <c r="H144" s="255"/>
      <c r="I144" s="102"/>
      <c r="J144" s="51"/>
      <c r="K144" s="51"/>
      <c r="L144" s="51"/>
      <c r="M144" s="51"/>
      <c r="N144" s="51"/>
      <c r="O144" s="51"/>
      <c r="P144" s="51"/>
      <c r="Q144" s="51"/>
      <c r="R144" s="51"/>
      <c r="S144" s="51"/>
      <c r="T144" s="51"/>
      <c r="U144" s="50" t="s">
        <v>186</v>
      </c>
      <c r="V144" s="50" t="s">
        <v>17</v>
      </c>
      <c r="W144" s="51"/>
      <c r="X144" s="50" t="s">
        <v>180</v>
      </c>
      <c r="Y144" s="55">
        <v>45951</v>
      </c>
      <c r="Z144" s="50" t="s">
        <v>17</v>
      </c>
    </row>
    <row r="145" spans="1:26" ht="13.2">
      <c r="A145" s="333"/>
      <c r="B145" s="48" t="s">
        <v>28</v>
      </c>
      <c r="C145" s="101" t="s">
        <v>252</v>
      </c>
      <c r="D145" s="190"/>
      <c r="E145" s="106"/>
      <c r="F145" s="231"/>
      <c r="G145" s="106"/>
      <c r="H145" s="255"/>
      <c r="I145" s="102"/>
      <c r="J145" s="51"/>
      <c r="K145" s="51"/>
      <c r="L145" s="51"/>
      <c r="M145" s="51"/>
      <c r="N145" s="51"/>
      <c r="O145" s="51"/>
      <c r="P145" s="51"/>
      <c r="Q145" s="51"/>
      <c r="R145" s="51"/>
      <c r="S145" s="51"/>
      <c r="T145" s="51"/>
      <c r="U145" s="50"/>
      <c r="V145" s="56" t="s">
        <v>23</v>
      </c>
      <c r="W145" s="51"/>
      <c r="X145" s="50" t="s">
        <v>180</v>
      </c>
      <c r="Y145" s="55"/>
      <c r="Z145" t="s">
        <v>94</v>
      </c>
    </row>
    <row r="146" spans="1:26" ht="26.4">
      <c r="A146" s="353" t="s">
        <v>413</v>
      </c>
      <c r="B146" s="117" t="s">
        <v>415</v>
      </c>
      <c r="C146" s="196" t="s">
        <v>419</v>
      </c>
      <c r="D146" s="189" t="s">
        <v>17</v>
      </c>
      <c r="E146" s="104"/>
      <c r="F146" s="210">
        <v>2018</v>
      </c>
      <c r="G146" s="170" t="s">
        <v>422</v>
      </c>
      <c r="H146" s="256"/>
      <c r="I146" s="119"/>
      <c r="J146" s="108"/>
      <c r="K146" s="108"/>
      <c r="L146" s="108"/>
      <c r="M146" s="108"/>
      <c r="N146" s="108"/>
      <c r="O146" s="108"/>
      <c r="P146" s="108"/>
      <c r="Q146" s="112"/>
      <c r="R146" s="26"/>
      <c r="S146" s="26"/>
      <c r="T146" s="26"/>
      <c r="U146" s="25"/>
      <c r="V146" s="43"/>
      <c r="W146" s="26"/>
      <c r="X146" s="25"/>
      <c r="Y146" s="42"/>
      <c r="Z146" s="25"/>
    </row>
    <row r="147" spans="1:26" ht="13.2">
      <c r="A147" s="353"/>
      <c r="B147" s="117"/>
      <c r="C147" s="196" t="s">
        <v>423</v>
      </c>
      <c r="D147" s="189" t="s">
        <v>17</v>
      </c>
      <c r="E147" s="104"/>
      <c r="F147" s="210" t="s">
        <v>421</v>
      </c>
      <c r="G147" s="170" t="s">
        <v>420</v>
      </c>
      <c r="H147" s="256"/>
      <c r="I147" s="119"/>
      <c r="J147" s="108"/>
      <c r="K147" s="108"/>
      <c r="L147" s="108"/>
      <c r="M147" s="108"/>
      <c r="N147" s="108"/>
      <c r="O147" s="108"/>
      <c r="P147" s="108"/>
      <c r="Q147" s="112"/>
      <c r="R147" s="26"/>
      <c r="S147" s="26"/>
      <c r="T147" s="26"/>
      <c r="U147" s="25"/>
      <c r="V147" s="43"/>
      <c r="W147" s="26"/>
      <c r="X147" s="25"/>
      <c r="Y147" s="42"/>
      <c r="Z147" s="25"/>
    </row>
    <row r="148" spans="1:26" ht="26.4">
      <c r="A148" s="353"/>
      <c r="B148" s="117"/>
      <c r="C148" s="98" t="s">
        <v>426</v>
      </c>
      <c r="D148" s="189" t="s">
        <v>17</v>
      </c>
      <c r="E148" s="104"/>
      <c r="F148" s="210" t="s">
        <v>414</v>
      </c>
      <c r="G148" s="170" t="s">
        <v>424</v>
      </c>
      <c r="H148" s="256"/>
      <c r="I148" s="119"/>
      <c r="J148" s="108"/>
      <c r="K148" s="108"/>
      <c r="L148" s="108"/>
      <c r="M148" s="108"/>
      <c r="N148" s="108"/>
      <c r="O148" s="108"/>
      <c r="P148" s="108">
        <v>4</v>
      </c>
      <c r="Q148" s="112"/>
      <c r="R148" s="26"/>
      <c r="S148" s="26"/>
      <c r="T148" s="26"/>
      <c r="U148" s="25"/>
      <c r="V148" s="43"/>
      <c r="W148" s="26"/>
      <c r="X148" s="25"/>
      <c r="Y148" s="42"/>
      <c r="Z148" s="25"/>
    </row>
    <row r="149" spans="1:26" ht="13.2">
      <c r="A149" s="353"/>
      <c r="B149" s="117"/>
      <c r="C149" s="98"/>
      <c r="D149" s="189"/>
      <c r="E149" s="104"/>
      <c r="F149" s="210"/>
      <c r="G149" s="170"/>
      <c r="H149" s="256"/>
      <c r="I149" s="119"/>
      <c r="J149" s="108"/>
      <c r="K149" s="108"/>
      <c r="L149" s="108"/>
      <c r="M149" s="108"/>
      <c r="N149" s="108"/>
      <c r="O149" s="108"/>
      <c r="P149" s="108"/>
      <c r="Q149" s="112"/>
      <c r="R149" s="26"/>
      <c r="S149" s="26"/>
      <c r="T149" s="26"/>
      <c r="U149" s="25"/>
      <c r="V149" s="43"/>
      <c r="W149" s="26"/>
      <c r="X149" s="25"/>
      <c r="Y149" s="42"/>
      <c r="Z149" s="25"/>
    </row>
    <row r="150" spans="1:26" ht="13.2">
      <c r="A150" s="353"/>
      <c r="B150" s="117" t="s">
        <v>416</v>
      </c>
      <c r="C150" s="98" t="s">
        <v>467</v>
      </c>
      <c r="D150" s="189"/>
      <c r="E150" s="104"/>
      <c r="F150" s="210">
        <v>2023</v>
      </c>
      <c r="G150" s="193" t="s">
        <v>222</v>
      </c>
      <c r="H150" s="257"/>
      <c r="I150" s="119"/>
      <c r="J150" s="108"/>
      <c r="K150" s="108"/>
      <c r="L150" s="108"/>
      <c r="M150" s="108"/>
      <c r="N150" s="108"/>
      <c r="O150" s="108"/>
      <c r="P150" s="108">
        <v>4</v>
      </c>
      <c r="Q150" s="112"/>
      <c r="R150" s="26"/>
      <c r="S150" s="26"/>
      <c r="T150" s="26"/>
      <c r="U150" s="25"/>
      <c r="V150" s="43"/>
      <c r="W150" s="26"/>
      <c r="X150" s="25"/>
      <c r="Y150" s="42"/>
      <c r="Z150" s="25"/>
    </row>
    <row r="151" spans="1:26" ht="13.2">
      <c r="A151" s="353"/>
      <c r="B151" s="117"/>
      <c r="C151" s="183"/>
      <c r="D151" s="189"/>
      <c r="E151" s="202"/>
      <c r="F151" s="211"/>
      <c r="G151" s="104"/>
      <c r="H151" s="258"/>
      <c r="I151" s="119"/>
      <c r="J151" s="108"/>
      <c r="K151" s="108"/>
      <c r="L151" s="108"/>
      <c r="M151" s="108"/>
      <c r="N151" s="108"/>
      <c r="O151" s="108"/>
      <c r="P151" s="108"/>
      <c r="Q151" s="112"/>
      <c r="R151" s="26"/>
      <c r="S151" s="26"/>
      <c r="T151" s="26"/>
      <c r="U151" s="25"/>
      <c r="V151" s="43"/>
      <c r="W151" s="26"/>
      <c r="X151" s="25"/>
      <c r="Y151" s="42"/>
      <c r="Z151" s="25"/>
    </row>
    <row r="152" spans="1:26" ht="13.2">
      <c r="A152" s="353"/>
      <c r="B152" s="117"/>
      <c r="C152" s="183"/>
      <c r="D152" s="189"/>
      <c r="E152" s="202"/>
      <c r="F152" s="211"/>
      <c r="G152" s="104"/>
      <c r="H152" s="258"/>
      <c r="I152" s="119"/>
      <c r="J152" s="108"/>
      <c r="K152" s="108"/>
      <c r="L152" s="108"/>
      <c r="M152" s="108"/>
      <c r="N152" s="108"/>
      <c r="O152" s="108"/>
      <c r="P152" s="108"/>
      <c r="Q152" s="112"/>
      <c r="R152" s="26"/>
      <c r="S152" s="26"/>
      <c r="T152" s="26"/>
      <c r="U152" s="25"/>
      <c r="V152" s="43"/>
      <c r="W152" s="26"/>
      <c r="X152" s="25"/>
      <c r="Y152" s="42"/>
      <c r="Z152" s="25"/>
    </row>
    <row r="153" spans="1:26" ht="26.4">
      <c r="A153" s="353"/>
      <c r="B153" s="118" t="s">
        <v>252</v>
      </c>
      <c r="C153" s="199" t="s">
        <v>417</v>
      </c>
      <c r="D153" s="189" t="s">
        <v>17</v>
      </c>
      <c r="E153" s="104"/>
      <c r="F153" s="213" t="s">
        <v>414</v>
      </c>
      <c r="G153" s="170" t="s">
        <v>231</v>
      </c>
      <c r="H153" s="256"/>
      <c r="I153" s="119"/>
      <c r="J153" s="108"/>
      <c r="K153" s="108"/>
      <c r="L153" s="108"/>
      <c r="M153" s="108"/>
      <c r="N153" s="108"/>
      <c r="O153" s="108"/>
      <c r="P153" s="108"/>
      <c r="Q153" s="112"/>
      <c r="R153" s="26"/>
      <c r="S153" s="26"/>
      <c r="T153" s="26"/>
      <c r="U153" s="25"/>
      <c r="V153" s="43"/>
      <c r="W153" s="26"/>
      <c r="X153" s="25"/>
      <c r="Y153" s="42"/>
      <c r="Z153" s="25"/>
    </row>
    <row r="154" spans="1:26" ht="26.4">
      <c r="A154" s="353"/>
      <c r="B154" s="117"/>
      <c r="C154" s="196" t="s">
        <v>425</v>
      </c>
      <c r="D154" s="189" t="s">
        <v>17</v>
      </c>
      <c r="E154" s="104"/>
      <c r="F154" s="213" t="s">
        <v>414</v>
      </c>
      <c r="G154" s="170" t="s">
        <v>424</v>
      </c>
      <c r="H154" s="256"/>
      <c r="I154" s="119"/>
      <c r="J154" s="108"/>
      <c r="K154" s="108"/>
      <c r="L154" s="108"/>
      <c r="M154" s="108"/>
      <c r="N154" s="108"/>
      <c r="O154" s="108"/>
      <c r="P154" s="108"/>
      <c r="Q154" s="112"/>
      <c r="R154" s="26"/>
      <c r="S154" s="26"/>
      <c r="T154" s="26"/>
      <c r="U154" s="25"/>
      <c r="V154" s="43"/>
      <c r="W154" s="26"/>
      <c r="X154" s="25"/>
      <c r="Y154" s="42"/>
      <c r="Z154" s="25"/>
    </row>
    <row r="155" spans="1:26" ht="13.2">
      <c r="A155" s="353"/>
      <c r="B155" s="117"/>
      <c r="C155" s="196"/>
      <c r="D155" s="189"/>
      <c r="E155" s="104"/>
      <c r="F155" s="213"/>
      <c r="G155" s="170"/>
      <c r="H155" s="256"/>
      <c r="I155" s="119"/>
      <c r="J155" s="108"/>
      <c r="K155" s="108"/>
      <c r="L155" s="108"/>
      <c r="M155" s="108"/>
      <c r="N155" s="108"/>
      <c r="O155" s="108"/>
      <c r="P155" s="108"/>
      <c r="Q155" s="112"/>
      <c r="R155" s="26"/>
      <c r="S155" s="26"/>
      <c r="T155" s="26"/>
      <c r="U155" s="25"/>
      <c r="V155" s="43"/>
      <c r="W155" s="26"/>
      <c r="X155" s="25"/>
      <c r="Y155" s="42"/>
      <c r="Z155" s="25"/>
    </row>
    <row r="156" spans="1:26" ht="13.2">
      <c r="A156" s="353"/>
      <c r="B156" s="117"/>
      <c r="C156" s="196"/>
      <c r="D156" s="189"/>
      <c r="E156" s="104"/>
      <c r="F156" s="213"/>
      <c r="G156" s="170"/>
      <c r="H156" s="256"/>
      <c r="I156" s="119"/>
      <c r="J156" s="108"/>
      <c r="K156" s="108"/>
      <c r="L156" s="108"/>
      <c r="M156" s="108"/>
      <c r="N156" s="108"/>
      <c r="O156" s="108"/>
      <c r="P156" s="108"/>
      <c r="Q156" s="112"/>
      <c r="R156" s="26"/>
      <c r="S156" s="26"/>
      <c r="T156" s="26"/>
      <c r="U156" s="25"/>
      <c r="V156" s="43"/>
      <c r="W156" s="26"/>
      <c r="X156" s="25"/>
      <c r="Y156" s="42"/>
      <c r="Z156" s="25"/>
    </row>
    <row r="157" spans="1:26" ht="13.2">
      <c r="A157" s="353"/>
      <c r="B157" s="354" t="s">
        <v>253</v>
      </c>
      <c r="C157" s="324" t="s">
        <v>418</v>
      </c>
      <c r="D157" s="189" t="s">
        <v>17</v>
      </c>
      <c r="E157" s="104"/>
      <c r="F157" s="213"/>
      <c r="G157" s="104"/>
      <c r="H157" s="258"/>
      <c r="I157" s="119"/>
      <c r="J157" s="108"/>
      <c r="K157" s="108"/>
      <c r="L157" s="108"/>
      <c r="M157" s="108"/>
      <c r="N157" s="108"/>
      <c r="O157" s="108"/>
      <c r="P157" s="108"/>
      <c r="Q157" s="112"/>
      <c r="R157" s="26"/>
      <c r="S157" s="26"/>
      <c r="T157" s="26"/>
      <c r="U157" s="25"/>
      <c r="V157" s="43"/>
      <c r="W157" s="26"/>
      <c r="X157" s="25"/>
      <c r="Y157" s="42"/>
      <c r="Z157" s="25"/>
    </row>
    <row r="158" spans="1:26" ht="13.2">
      <c r="A158" s="353"/>
      <c r="B158" s="354"/>
      <c r="C158" s="325"/>
      <c r="D158" s="189"/>
      <c r="E158" s="104"/>
      <c r="F158" s="213"/>
      <c r="G158" s="104"/>
      <c r="H158" s="258"/>
      <c r="I158" s="119"/>
      <c r="J158" s="108"/>
      <c r="K158" s="108"/>
      <c r="L158" s="108"/>
      <c r="M158" s="108"/>
      <c r="N158" s="108"/>
      <c r="O158" s="108"/>
      <c r="P158" s="108"/>
      <c r="Q158" s="112"/>
      <c r="R158" s="26"/>
      <c r="S158" s="26"/>
      <c r="T158" s="26"/>
      <c r="U158" s="25"/>
      <c r="V158" s="43"/>
      <c r="W158" s="26"/>
      <c r="X158" s="25"/>
      <c r="Y158" s="42"/>
      <c r="Z158" s="25"/>
    </row>
    <row r="159" spans="1:26" ht="13.2">
      <c r="A159" s="353"/>
      <c r="B159" s="354"/>
      <c r="C159" s="324" t="s">
        <v>432</v>
      </c>
      <c r="D159" s="189" t="s">
        <v>17</v>
      </c>
      <c r="E159" s="104"/>
      <c r="F159" s="213"/>
      <c r="G159" s="193" t="s">
        <v>433</v>
      </c>
      <c r="H159" s="257"/>
      <c r="I159" s="119"/>
      <c r="J159" s="108"/>
      <c r="K159" s="108"/>
      <c r="L159" s="108"/>
      <c r="M159" s="108"/>
      <c r="N159" s="108"/>
      <c r="O159" s="108"/>
      <c r="P159" s="108"/>
      <c r="Q159" s="112"/>
      <c r="R159" s="26"/>
      <c r="S159" s="26"/>
      <c r="T159" s="26"/>
      <c r="U159" s="25"/>
      <c r="V159" s="43"/>
      <c r="W159" s="26"/>
      <c r="X159" s="25"/>
      <c r="Y159" s="42"/>
      <c r="Z159" s="25"/>
    </row>
    <row r="160" spans="1:26" ht="13.2">
      <c r="A160" s="353"/>
      <c r="B160" s="354"/>
      <c r="C160" s="325"/>
      <c r="D160" s="189"/>
      <c r="E160" s="104"/>
      <c r="F160" s="213"/>
      <c r="G160" s="193"/>
      <c r="H160" s="257"/>
      <c r="I160" s="119"/>
      <c r="J160" s="108"/>
      <c r="K160" s="108"/>
      <c r="L160" s="108"/>
      <c r="M160" s="108"/>
      <c r="N160" s="108"/>
      <c r="O160" s="108"/>
      <c r="P160" s="108"/>
      <c r="Q160" s="112"/>
      <c r="R160" s="26"/>
      <c r="S160" s="26"/>
      <c r="T160" s="26"/>
      <c r="U160" s="25"/>
      <c r="V160" s="43"/>
      <c r="W160" s="26"/>
      <c r="X160" s="25"/>
      <c r="Y160" s="42"/>
      <c r="Z160" s="25"/>
    </row>
    <row r="161" spans="1:26" ht="13.2">
      <c r="A161" s="353"/>
      <c r="B161" s="354"/>
      <c r="C161" s="324" t="s">
        <v>434</v>
      </c>
      <c r="D161" s="189" t="s">
        <v>17</v>
      </c>
      <c r="E161" s="104"/>
      <c r="F161" s="213"/>
      <c r="G161" s="193" t="s">
        <v>442</v>
      </c>
      <c r="H161" s="257"/>
      <c r="I161" s="119"/>
      <c r="J161" s="108"/>
      <c r="K161" s="108"/>
      <c r="L161" s="108"/>
      <c r="M161" s="108"/>
      <c r="N161" s="108"/>
      <c r="O161" s="108"/>
      <c r="P161" s="108"/>
      <c r="Q161" s="112"/>
      <c r="R161" s="26"/>
      <c r="S161" s="26"/>
      <c r="T161" s="26"/>
      <c r="U161" s="25"/>
      <c r="V161" s="43"/>
      <c r="W161" s="26"/>
      <c r="X161" s="25"/>
      <c r="Y161" s="42"/>
      <c r="Z161" s="25"/>
    </row>
    <row r="162" spans="1:26" ht="13.2">
      <c r="A162" s="353"/>
      <c r="B162" s="354"/>
      <c r="C162" s="325"/>
      <c r="D162" s="189"/>
      <c r="E162" s="104"/>
      <c r="F162" s="213"/>
      <c r="G162" s="193"/>
      <c r="H162" s="257"/>
      <c r="I162" s="119"/>
      <c r="J162" s="108"/>
      <c r="K162" s="108"/>
      <c r="L162" s="108"/>
      <c r="M162" s="108"/>
      <c r="N162" s="108"/>
      <c r="O162" s="108"/>
      <c r="P162" s="108"/>
      <c r="Q162" s="112"/>
      <c r="R162" s="26"/>
      <c r="S162" s="26"/>
      <c r="T162" s="26"/>
      <c r="U162" s="25"/>
      <c r="V162" s="43"/>
      <c r="W162" s="26"/>
      <c r="X162" s="25"/>
      <c r="Y162" s="42"/>
      <c r="Z162" s="25"/>
    </row>
    <row r="163" spans="1:26" ht="13.2">
      <c r="A163" s="353"/>
      <c r="B163" s="354"/>
      <c r="C163" s="117" t="s">
        <v>435</v>
      </c>
      <c r="D163" s="189" t="s">
        <v>17</v>
      </c>
      <c r="E163" s="104"/>
      <c r="F163" s="213"/>
      <c r="G163" s="193" t="s">
        <v>445</v>
      </c>
      <c r="H163" s="257"/>
      <c r="I163" s="119"/>
      <c r="J163" s="108"/>
      <c r="K163" s="108"/>
      <c r="L163" s="108"/>
      <c r="M163" s="108"/>
      <c r="N163" s="108"/>
      <c r="O163" s="108"/>
      <c r="P163" s="108"/>
      <c r="Q163" s="112"/>
      <c r="R163" s="26"/>
      <c r="S163" s="26"/>
      <c r="T163" s="26"/>
      <c r="U163" s="25"/>
      <c r="V163" s="43"/>
      <c r="W163" s="26"/>
      <c r="X163" s="25"/>
      <c r="Y163" s="42"/>
      <c r="Z163" s="25"/>
    </row>
    <row r="164" spans="1:26" ht="13.2">
      <c r="A164" s="353"/>
      <c r="B164" s="354"/>
      <c r="C164" s="117"/>
      <c r="D164" s="189"/>
      <c r="E164" s="104"/>
      <c r="F164" s="213"/>
      <c r="G164" s="193"/>
      <c r="H164" s="257"/>
      <c r="I164" s="119"/>
      <c r="J164" s="108"/>
      <c r="K164" s="108"/>
      <c r="L164" s="108"/>
      <c r="M164" s="108"/>
      <c r="N164" s="108"/>
      <c r="O164" s="108"/>
      <c r="P164" s="108"/>
      <c r="Q164" s="112"/>
      <c r="R164" s="26"/>
      <c r="S164" s="26"/>
      <c r="T164" s="26"/>
      <c r="U164" s="25"/>
      <c r="V164" s="43"/>
      <c r="W164" s="26"/>
      <c r="X164" s="25"/>
      <c r="Y164" s="42"/>
      <c r="Z164" s="25"/>
    </row>
    <row r="165" spans="1:26" ht="13.2">
      <c r="A165" s="353"/>
      <c r="B165" s="354"/>
      <c r="C165" s="117" t="s">
        <v>436</v>
      </c>
      <c r="D165" s="189" t="s">
        <v>17</v>
      </c>
      <c r="E165" s="104"/>
      <c r="F165" s="213"/>
      <c r="G165" s="193" t="s">
        <v>445</v>
      </c>
      <c r="H165" s="257"/>
      <c r="I165" s="119"/>
      <c r="J165" s="108"/>
      <c r="K165" s="108"/>
      <c r="L165" s="108"/>
      <c r="M165" s="108"/>
      <c r="N165" s="108"/>
      <c r="O165" s="108"/>
      <c r="P165" s="108"/>
      <c r="Q165" s="112"/>
      <c r="R165" s="26"/>
      <c r="S165" s="26"/>
      <c r="T165" s="26"/>
      <c r="U165" s="25"/>
      <c r="V165" s="43"/>
      <c r="W165" s="26"/>
      <c r="X165" s="25"/>
      <c r="Y165" s="42"/>
      <c r="Z165" s="25"/>
    </row>
    <row r="166" spans="1:26" ht="13.2">
      <c r="A166" s="353"/>
      <c r="B166" s="354"/>
      <c r="C166" s="117"/>
      <c r="D166" s="189"/>
      <c r="E166" s="104"/>
      <c r="F166" s="213"/>
      <c r="G166" s="193"/>
      <c r="H166" s="257"/>
      <c r="I166" s="119"/>
      <c r="J166" s="108"/>
      <c r="K166" s="108"/>
      <c r="L166" s="108"/>
      <c r="M166" s="108"/>
      <c r="N166" s="108"/>
      <c r="O166" s="108"/>
      <c r="P166" s="108"/>
      <c r="Q166" s="112"/>
      <c r="R166" s="26"/>
      <c r="S166" s="26"/>
      <c r="T166" s="26"/>
      <c r="U166" s="25"/>
      <c r="V166" s="43"/>
      <c r="W166" s="26"/>
      <c r="X166" s="25"/>
      <c r="Y166" s="42"/>
      <c r="Z166" s="25"/>
    </row>
    <row r="167" spans="1:26" ht="13.2">
      <c r="A167" s="353"/>
      <c r="B167" s="354"/>
      <c r="C167" s="117" t="s">
        <v>437</v>
      </c>
      <c r="D167" s="189" t="s">
        <v>17</v>
      </c>
      <c r="E167" s="104"/>
      <c r="F167" s="213"/>
      <c r="G167" s="193" t="s">
        <v>444</v>
      </c>
      <c r="H167" s="257"/>
      <c r="I167" s="119"/>
      <c r="J167" s="108"/>
      <c r="K167" s="108"/>
      <c r="L167" s="108"/>
      <c r="M167" s="108"/>
      <c r="N167" s="108"/>
      <c r="O167" s="108"/>
      <c r="P167" s="108"/>
      <c r="Q167" s="112"/>
      <c r="R167" s="26"/>
      <c r="S167" s="26"/>
      <c r="T167" s="26"/>
      <c r="U167" s="25"/>
      <c r="V167" s="43"/>
      <c r="W167" s="26"/>
      <c r="X167" s="25"/>
      <c r="Y167" s="42"/>
      <c r="Z167" s="25"/>
    </row>
    <row r="168" spans="1:26" ht="13.2">
      <c r="A168" s="353"/>
      <c r="B168" s="354"/>
      <c r="C168" s="117"/>
      <c r="D168" s="189"/>
      <c r="E168" s="104"/>
      <c r="F168" s="213"/>
      <c r="G168" s="193"/>
      <c r="H168" s="257"/>
      <c r="I168" s="119"/>
      <c r="J168" s="108"/>
      <c r="K168" s="108"/>
      <c r="L168" s="108"/>
      <c r="M168" s="108"/>
      <c r="N168" s="108"/>
      <c r="O168" s="108"/>
      <c r="P168" s="108"/>
      <c r="Q168" s="112"/>
      <c r="R168" s="26"/>
      <c r="S168" s="26"/>
      <c r="T168" s="26"/>
      <c r="U168" s="25"/>
      <c r="V168" s="43"/>
      <c r="W168" s="26"/>
      <c r="X168" s="25"/>
      <c r="Y168" s="42"/>
      <c r="Z168" s="25"/>
    </row>
    <row r="169" spans="1:26" ht="13.2">
      <c r="A169" s="353"/>
      <c r="B169" s="354"/>
      <c r="C169" s="117" t="s">
        <v>438</v>
      </c>
      <c r="D169" s="189" t="s">
        <v>17</v>
      </c>
      <c r="E169" s="104"/>
      <c r="F169" s="213"/>
      <c r="G169" s="193" t="s">
        <v>443</v>
      </c>
      <c r="H169" s="257"/>
      <c r="I169" s="119"/>
      <c r="J169" s="108"/>
      <c r="K169" s="108"/>
      <c r="L169" s="108"/>
      <c r="M169" s="108"/>
      <c r="N169" s="108"/>
      <c r="O169" s="108"/>
      <c r="P169" s="108"/>
      <c r="Q169" s="112"/>
      <c r="R169" s="26"/>
      <c r="S169" s="26"/>
      <c r="T169" s="26"/>
      <c r="U169" s="25"/>
      <c r="V169" s="43"/>
      <c r="W169" s="26"/>
      <c r="X169" s="25"/>
      <c r="Y169" s="42"/>
      <c r="Z169" s="25"/>
    </row>
    <row r="170" spans="1:26" ht="13.2">
      <c r="A170" s="353"/>
      <c r="B170" s="354"/>
      <c r="C170" s="200"/>
      <c r="D170" s="189"/>
      <c r="E170" s="104"/>
      <c r="F170" s="213"/>
      <c r="G170" s="193"/>
      <c r="H170" s="257"/>
      <c r="I170" s="119"/>
      <c r="J170" s="108"/>
      <c r="K170" s="108"/>
      <c r="L170" s="108"/>
      <c r="M170" s="108"/>
      <c r="N170" s="108"/>
      <c r="O170" s="108"/>
      <c r="P170" s="108"/>
      <c r="Q170" s="112"/>
      <c r="R170" s="26"/>
      <c r="S170" s="26"/>
      <c r="T170" s="26"/>
      <c r="U170" s="25"/>
      <c r="V170" s="43"/>
      <c r="W170" s="26"/>
      <c r="X170" s="25"/>
      <c r="Y170" s="42"/>
      <c r="Z170" s="25"/>
    </row>
    <row r="171" spans="1:26" ht="13.2">
      <c r="A171" s="353"/>
      <c r="B171" s="354"/>
      <c r="C171" s="324" t="s">
        <v>439</v>
      </c>
      <c r="D171" s="189" t="s">
        <v>17</v>
      </c>
      <c r="E171" s="104"/>
      <c r="F171" s="213"/>
      <c r="G171" s="193" t="s">
        <v>446</v>
      </c>
      <c r="H171" s="257"/>
      <c r="I171" s="119"/>
      <c r="J171" s="108"/>
      <c r="K171" s="108"/>
      <c r="L171" s="108"/>
      <c r="M171" s="108"/>
      <c r="N171" s="108"/>
      <c r="O171" s="108"/>
      <c r="P171" s="108"/>
      <c r="Q171" s="112"/>
      <c r="R171" s="26"/>
      <c r="S171" s="26"/>
      <c r="T171" s="26"/>
      <c r="U171" s="25"/>
      <c r="V171" s="43"/>
      <c r="W171" s="26"/>
      <c r="X171" s="25"/>
      <c r="Y171" s="42"/>
      <c r="Z171" s="25"/>
    </row>
    <row r="172" spans="1:26" ht="13.2">
      <c r="A172" s="353"/>
      <c r="B172" s="354"/>
      <c r="C172" s="325"/>
      <c r="D172" s="189" t="s">
        <v>17</v>
      </c>
      <c r="E172" s="104"/>
      <c r="F172" s="213"/>
      <c r="G172" s="193"/>
      <c r="H172" s="257"/>
      <c r="I172" s="119"/>
      <c r="J172" s="108"/>
      <c r="K172" s="108"/>
      <c r="L172" s="108"/>
      <c r="M172" s="108"/>
      <c r="N172" s="108"/>
      <c r="O172" s="108"/>
      <c r="P172" s="108"/>
      <c r="Q172" s="112"/>
      <c r="R172" s="26"/>
      <c r="S172" s="26"/>
      <c r="T172" s="26"/>
      <c r="U172" s="25"/>
      <c r="V172" s="43"/>
      <c r="W172" s="26"/>
      <c r="X172" s="25"/>
      <c r="Y172" s="42"/>
      <c r="Z172" s="25"/>
    </row>
    <row r="173" spans="1:26" ht="13.2">
      <c r="A173" s="353"/>
      <c r="B173" s="354"/>
      <c r="C173" s="324" t="s">
        <v>440</v>
      </c>
      <c r="D173" s="189" t="s">
        <v>17</v>
      </c>
      <c r="E173" s="104"/>
      <c r="F173" s="213"/>
      <c r="G173" s="193" t="s">
        <v>443</v>
      </c>
      <c r="H173" s="257"/>
      <c r="I173" s="119"/>
      <c r="J173" s="108"/>
      <c r="K173" s="108"/>
      <c r="L173" s="108"/>
      <c r="M173" s="108"/>
      <c r="N173" s="108"/>
      <c r="O173" s="108"/>
      <c r="P173" s="108"/>
      <c r="Q173" s="112"/>
      <c r="R173" s="26"/>
      <c r="S173" s="26"/>
      <c r="T173" s="26"/>
      <c r="U173" s="25"/>
      <c r="V173" s="43"/>
      <c r="W173" s="26"/>
      <c r="X173" s="25"/>
      <c r="Y173" s="42"/>
      <c r="Z173" s="25"/>
    </row>
    <row r="174" spans="1:26" ht="13.2">
      <c r="A174" s="353"/>
      <c r="B174" s="354"/>
      <c r="C174" s="325"/>
      <c r="D174" s="189" t="s">
        <v>17</v>
      </c>
      <c r="E174" s="104"/>
      <c r="F174" s="213"/>
      <c r="G174" s="193" t="s">
        <v>447</v>
      </c>
      <c r="H174" s="257"/>
      <c r="I174" s="119"/>
      <c r="J174" s="108"/>
      <c r="K174" s="108"/>
      <c r="L174" s="108"/>
      <c r="M174" s="108"/>
      <c r="N174" s="108"/>
      <c r="O174" s="108"/>
      <c r="P174" s="108"/>
      <c r="Q174" s="112"/>
      <c r="R174" s="26"/>
      <c r="S174" s="26"/>
      <c r="T174" s="26"/>
      <c r="U174" s="25"/>
      <c r="V174" s="43"/>
      <c r="W174" s="26"/>
      <c r="X174" s="25"/>
      <c r="Y174" s="42"/>
      <c r="Z174" s="25"/>
    </row>
    <row r="175" spans="1:26" ht="13.2">
      <c r="A175" s="353"/>
      <c r="B175" s="354"/>
      <c r="C175" s="322" t="s">
        <v>441</v>
      </c>
      <c r="D175" s="189" t="s">
        <v>17</v>
      </c>
      <c r="E175" s="104"/>
      <c r="F175" s="213"/>
      <c r="G175" s="193" t="s">
        <v>443</v>
      </c>
      <c r="H175" s="257"/>
      <c r="I175" s="119"/>
      <c r="J175" s="108"/>
      <c r="K175" s="108"/>
      <c r="L175" s="108"/>
      <c r="M175" s="108"/>
      <c r="N175" s="108"/>
      <c r="O175" s="108"/>
      <c r="P175" s="108"/>
      <c r="Q175" s="112"/>
      <c r="R175" s="26"/>
      <c r="S175" s="26"/>
      <c r="T175" s="26"/>
      <c r="U175" s="25"/>
      <c r="V175" s="43"/>
      <c r="W175" s="26"/>
      <c r="X175" s="25"/>
      <c r="Y175" s="42"/>
      <c r="Z175" s="25"/>
    </row>
    <row r="176" spans="1:26" ht="13.2">
      <c r="A176" s="353"/>
      <c r="B176" s="354"/>
      <c r="C176" s="323"/>
      <c r="D176" s="189" t="s">
        <v>17</v>
      </c>
      <c r="E176" s="104"/>
      <c r="F176" s="213"/>
      <c r="G176" s="193" t="s">
        <v>448</v>
      </c>
      <c r="H176" s="257"/>
      <c r="I176" s="119"/>
      <c r="J176" s="108"/>
      <c r="K176" s="108"/>
      <c r="L176" s="108"/>
      <c r="M176" s="108"/>
      <c r="N176" s="108"/>
      <c r="O176" s="108"/>
      <c r="P176" s="108"/>
      <c r="Q176" s="112"/>
      <c r="R176" s="26"/>
      <c r="S176" s="26"/>
      <c r="T176" s="26"/>
      <c r="U176" s="25"/>
      <c r="V176" s="43"/>
      <c r="W176" s="26"/>
      <c r="X176" s="25"/>
      <c r="Y176" s="42"/>
      <c r="Z176" s="25"/>
    </row>
    <row r="177" spans="1:26" ht="13.2">
      <c r="A177" s="328" t="s">
        <v>254</v>
      </c>
      <c r="B177" s="320" t="s">
        <v>255</v>
      </c>
      <c r="C177" s="115" t="s">
        <v>202</v>
      </c>
      <c r="D177" s="191" t="s">
        <v>17</v>
      </c>
      <c r="E177" s="107"/>
      <c r="F177" s="213"/>
      <c r="G177" s="104"/>
      <c r="H177" s="258"/>
      <c r="I177" s="119"/>
      <c r="J177" s="108"/>
      <c r="K177" s="108"/>
      <c r="L177" s="108"/>
      <c r="M177" s="108"/>
      <c r="N177" s="108"/>
      <c r="O177" s="108"/>
      <c r="P177" s="108"/>
      <c r="Q177" s="112"/>
      <c r="R177" s="26"/>
      <c r="S177" s="26"/>
      <c r="T177" s="26"/>
      <c r="U177" s="25"/>
      <c r="V177" s="25" t="s">
        <v>17</v>
      </c>
      <c r="W177" s="26"/>
      <c r="X177" s="25" t="s">
        <v>180</v>
      </c>
      <c r="Y177" s="42">
        <v>45958</v>
      </c>
      <c r="Z177" s="25" t="s">
        <v>17</v>
      </c>
    </row>
    <row r="178" spans="1:26" ht="25.5" customHeight="1">
      <c r="A178" s="328"/>
      <c r="B178" s="337"/>
      <c r="C178" s="98" t="s">
        <v>256</v>
      </c>
      <c r="D178" s="189" t="s">
        <v>257</v>
      </c>
      <c r="E178" s="104"/>
      <c r="F178" s="213" t="str">
        <f>IF(D178="Nee","-","&lt;vul in&gt;")</f>
        <v>&lt;vul in&gt;</v>
      </c>
      <c r="G178" s="104"/>
      <c r="H178" s="258"/>
      <c r="I178" s="119"/>
      <c r="J178" s="108"/>
      <c r="K178" s="108"/>
      <c r="L178" s="108"/>
      <c r="M178" s="108"/>
      <c r="N178" s="108"/>
      <c r="O178" s="108"/>
      <c r="P178" s="108"/>
      <c r="Q178" s="112"/>
      <c r="R178" s="26"/>
      <c r="S178" s="26"/>
      <c r="T178" s="26"/>
      <c r="U178" s="25"/>
      <c r="V178" s="25" t="s">
        <v>95</v>
      </c>
      <c r="W178" s="45"/>
      <c r="X178" s="25" t="s">
        <v>180</v>
      </c>
      <c r="Y178" s="42"/>
      <c r="Z178" t="s">
        <v>258</v>
      </c>
    </row>
    <row r="179" spans="1:26" ht="13.2">
      <c r="A179" s="328"/>
      <c r="B179" s="319" t="s">
        <v>259</v>
      </c>
      <c r="C179" s="98" t="s">
        <v>260</v>
      </c>
      <c r="D179" s="189" t="s">
        <v>17</v>
      </c>
      <c r="E179" s="177"/>
      <c r="F179" s="214">
        <v>2026</v>
      </c>
      <c r="G179" s="105" t="s">
        <v>261</v>
      </c>
      <c r="I179" s="119">
        <v>1</v>
      </c>
      <c r="J179" s="108">
        <v>0</v>
      </c>
      <c r="K179" s="108">
        <v>0</v>
      </c>
      <c r="L179" s="108">
        <v>1</v>
      </c>
      <c r="M179" s="108">
        <v>0</v>
      </c>
      <c r="N179" s="108">
        <v>0</v>
      </c>
      <c r="O179" s="108">
        <v>0</v>
      </c>
      <c r="P179" s="108">
        <v>1</v>
      </c>
      <c r="Q179" s="112"/>
      <c r="R179" s="26"/>
      <c r="S179" s="26"/>
      <c r="T179" s="26"/>
      <c r="U179" s="25" t="s">
        <v>262</v>
      </c>
      <c r="V179" s="25" t="s">
        <v>17</v>
      </c>
      <c r="W179" s="26"/>
      <c r="X179" s="25" t="s">
        <v>180</v>
      </c>
      <c r="Y179" s="42">
        <v>45958</v>
      </c>
      <c r="Z179" s="25" t="s">
        <v>17</v>
      </c>
    </row>
    <row r="180" spans="1:26" ht="13.2">
      <c r="A180" s="328"/>
      <c r="B180" s="320"/>
      <c r="C180" s="317" t="s">
        <v>263</v>
      </c>
      <c r="D180" s="189" t="s">
        <v>17</v>
      </c>
      <c r="E180" s="104"/>
      <c r="F180" s="210">
        <v>2026</v>
      </c>
      <c r="G180" s="105" t="s">
        <v>218</v>
      </c>
      <c r="I180" s="119">
        <v>1</v>
      </c>
      <c r="J180" s="108">
        <v>0</v>
      </c>
      <c r="K180" s="108">
        <v>0</v>
      </c>
      <c r="L180" s="108">
        <v>1</v>
      </c>
      <c r="M180" s="108">
        <v>0</v>
      </c>
      <c r="N180" s="108">
        <v>0</v>
      </c>
      <c r="O180" s="108">
        <v>0</v>
      </c>
      <c r="P180" s="108">
        <v>2</v>
      </c>
      <c r="Q180" s="112">
        <f>SUM(I180:P180)/COUNTIF(I180:P180,"&gt;0")</f>
        <v>1.3333333333333333</v>
      </c>
      <c r="R180" s="26"/>
      <c r="S180" s="26"/>
      <c r="T180" s="26"/>
      <c r="U180" s="25" t="s">
        <v>262</v>
      </c>
      <c r="V180" s="25" t="s">
        <v>17</v>
      </c>
      <c r="W180" s="26"/>
      <c r="X180" s="25" t="s">
        <v>180</v>
      </c>
      <c r="Y180" s="42">
        <v>45958</v>
      </c>
      <c r="Z180" s="25" t="s">
        <v>17</v>
      </c>
    </row>
    <row r="181" spans="1:26" ht="13.2">
      <c r="A181" s="328"/>
      <c r="B181" s="320"/>
      <c r="C181" s="318"/>
      <c r="D181" s="189" t="s">
        <v>17</v>
      </c>
      <c r="E181" s="104"/>
      <c r="F181" s="210">
        <v>2026</v>
      </c>
      <c r="G181" s="105" t="s">
        <v>264</v>
      </c>
      <c r="I181" s="119">
        <v>1</v>
      </c>
      <c r="J181" s="108">
        <v>0</v>
      </c>
      <c r="K181" s="108">
        <v>0</v>
      </c>
      <c r="L181" s="108">
        <v>1</v>
      </c>
      <c r="M181" s="108">
        <v>0</v>
      </c>
      <c r="N181" s="108">
        <v>0</v>
      </c>
      <c r="O181" s="108">
        <v>0</v>
      </c>
      <c r="P181" s="108">
        <v>2</v>
      </c>
      <c r="Q181" s="112">
        <f>SUM(I181:P181)/COUNTIF(I181:P181,"&gt;0")</f>
        <v>1.3333333333333333</v>
      </c>
      <c r="R181" s="26"/>
      <c r="S181" s="26"/>
      <c r="T181" s="26"/>
      <c r="U181" s="25" t="s">
        <v>262</v>
      </c>
      <c r="V181" s="25" t="s">
        <v>23</v>
      </c>
      <c r="W181" s="26"/>
      <c r="X181" s="25" t="s">
        <v>180</v>
      </c>
      <c r="Y181" s="25"/>
      <c r="Z181" s="25" t="s">
        <v>17</v>
      </c>
    </row>
    <row r="182" spans="1:26" ht="13.2">
      <c r="A182" s="328"/>
      <c r="B182" s="320"/>
      <c r="C182" s="98" t="s">
        <v>265</v>
      </c>
      <c r="D182" s="189" t="s">
        <v>17</v>
      </c>
      <c r="E182" s="104"/>
      <c r="F182" s="210">
        <v>2026</v>
      </c>
      <c r="G182" s="105" t="s">
        <v>218</v>
      </c>
      <c r="I182" s="119">
        <v>1</v>
      </c>
      <c r="J182" s="108">
        <v>0</v>
      </c>
      <c r="K182" s="108">
        <v>0</v>
      </c>
      <c r="L182" s="108">
        <v>1</v>
      </c>
      <c r="M182" s="108">
        <v>0</v>
      </c>
      <c r="N182" s="108">
        <v>0</v>
      </c>
      <c r="O182" s="108">
        <v>0</v>
      </c>
      <c r="P182" s="108">
        <v>1</v>
      </c>
      <c r="Q182" s="112"/>
      <c r="R182" s="26"/>
      <c r="S182" s="26"/>
      <c r="T182" s="26"/>
      <c r="U182" s="25" t="s">
        <v>262</v>
      </c>
      <c r="V182" s="25"/>
      <c r="W182" s="26"/>
      <c r="X182" s="25" t="s">
        <v>180</v>
      </c>
      <c r="Y182" s="25"/>
      <c r="Z182" t="s">
        <v>17</v>
      </c>
    </row>
    <row r="183" spans="1:26" ht="13.2">
      <c r="A183" s="328"/>
      <c r="B183" s="320"/>
      <c r="C183" s="61" t="s">
        <v>266</v>
      </c>
      <c r="D183" t="s">
        <v>17</v>
      </c>
      <c r="E183" s="105"/>
      <c r="F183" s="210">
        <v>2026</v>
      </c>
      <c r="G183" s="105" t="s">
        <v>218</v>
      </c>
      <c r="I183" s="119">
        <v>1</v>
      </c>
      <c r="J183" s="108">
        <v>0</v>
      </c>
      <c r="K183" s="108">
        <v>0</v>
      </c>
      <c r="L183" s="108">
        <v>1</v>
      </c>
      <c r="M183" s="108">
        <v>0</v>
      </c>
      <c r="N183" s="108">
        <v>0</v>
      </c>
      <c r="O183" s="108">
        <v>0</v>
      </c>
      <c r="P183" s="108">
        <v>2</v>
      </c>
      <c r="Q183" s="112"/>
      <c r="R183" s="26"/>
      <c r="S183" s="26"/>
      <c r="T183" s="26"/>
      <c r="U183" s="25"/>
      <c r="V183" s="25"/>
      <c r="W183" s="26"/>
      <c r="X183" s="25" t="s">
        <v>180</v>
      </c>
      <c r="Y183" s="25"/>
      <c r="Z183" t="s">
        <v>17</v>
      </c>
    </row>
    <row r="184" spans="1:26" ht="13.2">
      <c r="A184" s="328"/>
      <c r="B184" s="320"/>
      <c r="C184" s="61" t="s">
        <v>267</v>
      </c>
      <c r="D184" t="s">
        <v>23</v>
      </c>
      <c r="E184" s="105"/>
      <c r="F184" s="210"/>
      <c r="G184" s="105"/>
      <c r="I184" s="119"/>
      <c r="J184" s="108"/>
      <c r="K184" s="108"/>
      <c r="L184" s="108"/>
      <c r="M184" s="108"/>
      <c r="N184" s="108"/>
      <c r="O184" s="108"/>
      <c r="P184" s="108"/>
      <c r="Q184" s="112"/>
      <c r="R184" s="26"/>
      <c r="S184" s="26"/>
      <c r="T184" s="26"/>
      <c r="U184" s="25"/>
      <c r="V184" s="25"/>
      <c r="W184" s="26"/>
      <c r="X184" s="25" t="s">
        <v>180</v>
      </c>
      <c r="Y184" s="120"/>
      <c r="Z184" t="s">
        <v>23</v>
      </c>
    </row>
    <row r="185" spans="1:26" ht="13.2">
      <c r="A185" s="328"/>
      <c r="B185" s="320"/>
      <c r="C185" s="61" t="s">
        <v>268</v>
      </c>
      <c r="D185" t="s">
        <v>23</v>
      </c>
      <c r="E185" s="105"/>
      <c r="F185" s="210"/>
      <c r="G185" s="105"/>
      <c r="I185" s="119"/>
      <c r="J185" s="108"/>
      <c r="K185" s="108"/>
      <c r="L185" s="108"/>
      <c r="M185" s="108"/>
      <c r="N185" s="108"/>
      <c r="O185" s="108"/>
      <c r="P185" s="108"/>
      <c r="Q185" s="112"/>
      <c r="R185" s="26"/>
      <c r="S185" s="26"/>
      <c r="T185" s="26"/>
      <c r="U185" s="25"/>
      <c r="V185" s="25"/>
      <c r="W185" s="26"/>
      <c r="X185" s="25" t="s">
        <v>180</v>
      </c>
      <c r="Y185" s="120"/>
      <c r="Z185" t="s">
        <v>23</v>
      </c>
    </row>
    <row r="186" spans="1:26" ht="13.2">
      <c r="A186" s="328"/>
      <c r="B186" s="337"/>
      <c r="C186" s="61" t="s">
        <v>269</v>
      </c>
      <c r="D186" t="s">
        <v>23</v>
      </c>
      <c r="E186" s="105"/>
      <c r="F186" s="210"/>
      <c r="G186" s="105"/>
      <c r="I186" s="119"/>
      <c r="J186" s="108"/>
      <c r="K186" s="108"/>
      <c r="L186" s="108"/>
      <c r="M186" s="108"/>
      <c r="N186" s="108"/>
      <c r="O186" s="108"/>
      <c r="P186" s="108"/>
      <c r="Q186" s="112"/>
      <c r="R186" s="26"/>
      <c r="S186" s="26"/>
      <c r="T186" s="26"/>
      <c r="U186" s="25"/>
      <c r="V186" s="25"/>
      <c r="W186" s="26"/>
      <c r="X186" s="25" t="s">
        <v>180</v>
      </c>
      <c r="Y186" s="25"/>
      <c r="Z186" t="s">
        <v>23</v>
      </c>
    </row>
    <row r="187" spans="1:26" ht="13.2">
      <c r="A187" s="328"/>
      <c r="B187" s="319" t="s">
        <v>270</v>
      </c>
      <c r="C187" s="98" t="s">
        <v>271</v>
      </c>
      <c r="D187" s="189" t="s">
        <v>17</v>
      </c>
      <c r="E187" s="104"/>
      <c r="F187" s="210">
        <v>2023</v>
      </c>
      <c r="G187" s="176" t="s">
        <v>224</v>
      </c>
      <c r="H187" s="260"/>
      <c r="I187" s="119">
        <v>1</v>
      </c>
      <c r="J187" s="108">
        <v>0</v>
      </c>
      <c r="K187" s="108">
        <v>0</v>
      </c>
      <c r="L187" s="108">
        <v>4</v>
      </c>
      <c r="M187" s="108">
        <v>0</v>
      </c>
      <c r="N187" s="108">
        <v>0</v>
      </c>
      <c r="O187" s="108">
        <v>0</v>
      </c>
      <c r="P187" s="108">
        <v>1</v>
      </c>
      <c r="Q187" s="112">
        <f>SUM(I187:P187)/COUNTIF(I187:P187,"&gt;0")</f>
        <v>2</v>
      </c>
      <c r="R187" s="26"/>
      <c r="S187" s="26"/>
      <c r="T187" s="26"/>
      <c r="U187" s="25" t="s">
        <v>210</v>
      </c>
      <c r="V187" s="25" t="s">
        <v>95</v>
      </c>
      <c r="W187" s="26"/>
      <c r="X187" s="25" t="s">
        <v>180</v>
      </c>
      <c r="Y187" s="40">
        <v>45944</v>
      </c>
      <c r="Z187" s="25" t="s">
        <v>17</v>
      </c>
    </row>
    <row r="188" spans="1:26" ht="26.4">
      <c r="A188" s="328"/>
      <c r="B188" s="338"/>
      <c r="C188" s="98" t="s">
        <v>272</v>
      </c>
      <c r="D188" s="189" t="s">
        <v>23</v>
      </c>
      <c r="E188" s="104"/>
      <c r="F188" s="210"/>
      <c r="G188" s="104"/>
      <c r="H188" s="258"/>
      <c r="I188" s="119"/>
      <c r="J188" s="108"/>
      <c r="K188" s="108"/>
      <c r="L188" s="108"/>
      <c r="M188" s="108"/>
      <c r="N188" s="108"/>
      <c r="O188" s="108"/>
      <c r="P188" s="108"/>
      <c r="Q188" s="112"/>
      <c r="R188" s="26"/>
      <c r="S188" s="26"/>
      <c r="T188" s="26"/>
      <c r="U188" s="25" t="s">
        <v>18</v>
      </c>
      <c r="V188" s="25" t="s">
        <v>17</v>
      </c>
      <c r="W188" s="26"/>
      <c r="X188" s="25" t="s">
        <v>180</v>
      </c>
      <c r="Y188" s="42"/>
      <c r="Z188" s="25" t="s">
        <v>23</v>
      </c>
    </row>
    <row r="189" spans="1:26" ht="13.2">
      <c r="A189" s="328"/>
      <c r="B189" s="338"/>
      <c r="C189" s="98" t="s">
        <v>273</v>
      </c>
      <c r="D189" s="189" t="s">
        <v>23</v>
      </c>
      <c r="E189" s="104"/>
      <c r="F189" s="210"/>
      <c r="G189" s="104"/>
      <c r="H189" s="258"/>
      <c r="I189" s="119"/>
      <c r="J189" s="108"/>
      <c r="K189" s="108"/>
      <c r="L189" s="108"/>
      <c r="M189" s="108"/>
      <c r="N189" s="108"/>
      <c r="O189" s="108"/>
      <c r="P189" s="108"/>
      <c r="Q189" s="112"/>
      <c r="R189" s="26"/>
      <c r="S189" s="26"/>
      <c r="T189" s="26"/>
      <c r="U189" s="25" t="s">
        <v>18</v>
      </c>
      <c r="V189" s="25" t="s">
        <v>17</v>
      </c>
      <c r="W189" s="26"/>
      <c r="X189" s="25" t="s">
        <v>180</v>
      </c>
      <c r="Y189" s="42"/>
      <c r="Z189" s="25" t="s">
        <v>23</v>
      </c>
    </row>
    <row r="190" spans="1:26" ht="13.2">
      <c r="A190" s="328"/>
      <c r="B190" s="336"/>
      <c r="C190" s="98" t="s">
        <v>274</v>
      </c>
      <c r="D190" s="189" t="s">
        <v>23</v>
      </c>
      <c r="E190" s="104"/>
      <c r="F190" s="210"/>
      <c r="G190" s="104"/>
      <c r="H190" s="258"/>
      <c r="I190" s="119"/>
      <c r="J190" s="108"/>
      <c r="K190" s="108"/>
      <c r="L190" s="108"/>
      <c r="M190" s="108"/>
      <c r="N190" s="108"/>
      <c r="O190" s="108"/>
      <c r="P190" s="108"/>
      <c r="Q190" s="112"/>
      <c r="R190" s="26"/>
      <c r="S190" s="26"/>
      <c r="T190" s="26"/>
      <c r="U190" s="25" t="s">
        <v>275</v>
      </c>
      <c r="V190" s="25" t="s">
        <v>23</v>
      </c>
      <c r="W190" s="26"/>
      <c r="X190" s="25" t="s">
        <v>180</v>
      </c>
      <c r="Y190" s="25"/>
      <c r="Z190" s="25"/>
    </row>
    <row r="191" spans="1:26" ht="13.2">
      <c r="A191" s="297"/>
      <c r="B191" s="26" t="s">
        <v>276</v>
      </c>
      <c r="C191" s="98" t="s">
        <v>277</v>
      </c>
      <c r="D191" s="189" t="s">
        <v>23</v>
      </c>
      <c r="E191" s="104"/>
      <c r="F191" s="210" t="s">
        <v>278</v>
      </c>
      <c r="G191" s="104" t="s">
        <v>234</v>
      </c>
      <c r="H191" s="258"/>
      <c r="I191" s="119"/>
      <c r="J191" s="108"/>
      <c r="K191" s="108"/>
      <c r="L191" s="108"/>
      <c r="M191" s="108"/>
      <c r="N191" s="108"/>
      <c r="O191" s="108"/>
      <c r="P191" s="108"/>
      <c r="Q191" s="112"/>
      <c r="R191" s="26"/>
      <c r="S191" s="26" t="s">
        <v>23</v>
      </c>
      <c r="T191" s="26" t="s">
        <v>94</v>
      </c>
      <c r="U191" s="25" t="s">
        <v>262</v>
      </c>
      <c r="V191" s="25" t="s">
        <v>17</v>
      </c>
      <c r="W191" s="26"/>
      <c r="X191" s="25" t="s">
        <v>180</v>
      </c>
      <c r="Y191" s="42"/>
      <c r="Z191" s="25" t="s">
        <v>23</v>
      </c>
    </row>
    <row r="192" spans="1:26" ht="13.2">
      <c r="A192" s="25"/>
      <c r="C192" s="98"/>
      <c r="D192" s="189"/>
      <c r="E192" s="104"/>
      <c r="F192" s="210" t="str">
        <f>IF(D192="Nee","-","&lt;vul in&gt;")</f>
        <v>&lt;vul in&gt;</v>
      </c>
      <c r="G192" s="104"/>
      <c r="H192" s="258"/>
      <c r="I192" s="119"/>
      <c r="J192" s="108"/>
      <c r="K192" s="108"/>
      <c r="L192" s="108"/>
      <c r="M192" s="108"/>
      <c r="N192" s="108"/>
      <c r="O192" s="108"/>
      <c r="P192" s="108"/>
      <c r="Q192" s="112"/>
      <c r="R192" s="26"/>
      <c r="S192" s="26"/>
      <c r="T192" s="26"/>
      <c r="U192" s="25"/>
      <c r="V192" s="25"/>
      <c r="W192" s="26"/>
      <c r="X192" s="25"/>
      <c r="Y192" s="25"/>
      <c r="Z192" s="25"/>
    </row>
    <row r="193" spans="1:26" ht="13.2">
      <c r="A193" s="25"/>
      <c r="B193" s="26"/>
      <c r="C193" s="98"/>
      <c r="D193" s="189"/>
      <c r="E193" s="104"/>
      <c r="F193" s="210" t="str">
        <f>IF(D193="Nee","-","&lt;vul in&gt;")</f>
        <v>&lt;vul in&gt;</v>
      </c>
      <c r="G193" s="104"/>
      <c r="H193" s="258"/>
      <c r="I193" s="119"/>
      <c r="J193" s="108"/>
      <c r="K193" s="108"/>
      <c r="L193" s="108"/>
      <c r="M193" s="108"/>
      <c r="N193" s="108"/>
      <c r="O193" s="108"/>
      <c r="P193" s="108"/>
      <c r="Q193" s="112"/>
      <c r="R193" s="26"/>
      <c r="S193" s="26"/>
      <c r="T193" s="26"/>
      <c r="U193" s="25"/>
      <c r="V193" s="25"/>
      <c r="W193" s="26"/>
      <c r="X193" s="25"/>
      <c r="Y193" s="25"/>
      <c r="Z193" s="25"/>
    </row>
  </sheetData>
  <mergeCells count="91">
    <mergeCell ref="A177:A191"/>
    <mergeCell ref="B177:B178"/>
    <mergeCell ref="B187:B190"/>
    <mergeCell ref="B179:B186"/>
    <mergeCell ref="A146:A176"/>
    <mergeCell ref="B157:B176"/>
    <mergeCell ref="C135:C136"/>
    <mergeCell ref="C124:C127"/>
    <mergeCell ref="C122:C123"/>
    <mergeCell ref="C98:C100"/>
    <mergeCell ref="C102:C103"/>
    <mergeCell ref="C133:C134"/>
    <mergeCell ref="C108:C109"/>
    <mergeCell ref="C128:C129"/>
    <mergeCell ref="C130:C131"/>
    <mergeCell ref="C110:C112"/>
    <mergeCell ref="C113:C115"/>
    <mergeCell ref="A140:A145"/>
    <mergeCell ref="A121:A139"/>
    <mergeCell ref="A98:A120"/>
    <mergeCell ref="B137:B138"/>
    <mergeCell ref="B133:B136"/>
    <mergeCell ref="B98:B101"/>
    <mergeCell ref="B121:B127"/>
    <mergeCell ref="B128:B132"/>
    <mergeCell ref="B110:B120"/>
    <mergeCell ref="W31:W37"/>
    <mergeCell ref="A3:A45"/>
    <mergeCell ref="B4:B7"/>
    <mergeCell ref="B8:B16"/>
    <mergeCell ref="B17:B20"/>
    <mergeCell ref="B26:B29"/>
    <mergeCell ref="B30:B39"/>
    <mergeCell ref="C37:C39"/>
    <mergeCell ref="C18:C19"/>
    <mergeCell ref="C32:C33"/>
    <mergeCell ref="C21:C22"/>
    <mergeCell ref="C35:C36"/>
    <mergeCell ref="B21:B25"/>
    <mergeCell ref="D18:D19"/>
    <mergeCell ref="B40:B44"/>
    <mergeCell ref="D32:D33"/>
    <mergeCell ref="C180:C181"/>
    <mergeCell ref="C175:C176"/>
    <mergeCell ref="C173:C174"/>
    <mergeCell ref="C171:C172"/>
    <mergeCell ref="C157:C158"/>
    <mergeCell ref="C159:C160"/>
    <mergeCell ref="C161:C162"/>
    <mergeCell ref="B61:B70"/>
    <mergeCell ref="C74:C75"/>
    <mergeCell ref="C76:C78"/>
    <mergeCell ref="B74:B83"/>
    <mergeCell ref="C105:C106"/>
    <mergeCell ref="B71:B73"/>
    <mergeCell ref="B84:B93"/>
    <mergeCell ref="C84:C86"/>
    <mergeCell ref="C88:C89"/>
    <mergeCell ref="B102:B109"/>
    <mergeCell ref="B94:B96"/>
    <mergeCell ref="D81:D83"/>
    <mergeCell ref="C81:C83"/>
    <mergeCell ref="D61:D62"/>
    <mergeCell ref="D63:D67"/>
    <mergeCell ref="C63:C67"/>
    <mergeCell ref="D68:D70"/>
    <mergeCell ref="C68:C70"/>
    <mergeCell ref="C61:C62"/>
    <mergeCell ref="D37:D39"/>
    <mergeCell ref="D76:D78"/>
    <mergeCell ref="D79:D80"/>
    <mergeCell ref="C79:C80"/>
    <mergeCell ref="C41:C42"/>
    <mergeCell ref="C43:C44"/>
    <mergeCell ref="D43:D44"/>
    <mergeCell ref="A46:A96"/>
    <mergeCell ref="C56:C57"/>
    <mergeCell ref="D56:D57"/>
    <mergeCell ref="C54:C55"/>
    <mergeCell ref="D54:D55"/>
    <mergeCell ref="B52:B60"/>
    <mergeCell ref="C52:C53"/>
    <mergeCell ref="D52:D53"/>
    <mergeCell ref="D46:D47"/>
    <mergeCell ref="B46:B47"/>
    <mergeCell ref="C46:C47"/>
    <mergeCell ref="D84:D86"/>
    <mergeCell ref="B48:B51"/>
    <mergeCell ref="D88:D89"/>
    <mergeCell ref="D91:D92"/>
    <mergeCell ref="C91:C92"/>
  </mergeCells>
  <phoneticPr fontId="36" type="noConversion"/>
  <conditionalFormatting sqref="D43 E43:E44">
    <cfRule type="containsText" dxfId="101" priority="1" operator="containsText" text="Ja">
      <formula>NOT(ISERROR(SEARCH(("Ja"),(D43))))</formula>
    </cfRule>
    <cfRule type="containsText" dxfId="100" priority="2" operator="containsText" text="Nee">
      <formula>NOT(ISERROR(SEARCH(("Nee"),(D43))))</formula>
    </cfRule>
    <cfRule type="cellIs" dxfId="99" priority="3" operator="equal">
      <formula>"Via andere grondstof"</formula>
    </cfRule>
    <cfRule type="cellIs" dxfId="98" priority="4" operator="equal">
      <formula>"Oppervlakkig"</formula>
    </cfRule>
  </conditionalFormatting>
  <conditionalFormatting sqref="D1:E2 D98:E193">
    <cfRule type="cellIs" dxfId="97" priority="103" operator="equal">
      <formula>"Voorbeeld"</formula>
    </cfRule>
  </conditionalFormatting>
  <conditionalFormatting sqref="D3:E18 E19 D20:E32 E33 D34:E37 E38:E39 D40:E42 D45:E46 E47 D48:E52 E53 D54:E54 E55 D56:E56 E57:E59 D60:E61 E62 D63:E63 E64:E67 D68:E68 E69:E70 D71:E76 E77:E78 D79:E79 E80 D81:E81 E82:E83 D84:E84 E85:E86 D87:E88 E89 D90:E91 E92 D93:E97">
    <cfRule type="containsText" dxfId="96" priority="96" operator="containsText" text="Ja">
      <formula>NOT(ISERROR(SEARCH(("Ja"),(D3))))</formula>
    </cfRule>
    <cfRule type="cellIs" dxfId="95" priority="99" operator="equal">
      <formula>"Oppervlakkig"</formula>
    </cfRule>
    <cfRule type="cellIs" dxfId="94" priority="98" operator="equal">
      <formula>"Via andere grondstof"</formula>
    </cfRule>
    <cfRule type="containsText" dxfId="93" priority="97" operator="containsText" text="Nee">
      <formula>NOT(ISERROR(SEARCH(("Nee"),(D3))))</formula>
    </cfRule>
  </conditionalFormatting>
  <conditionalFormatting sqref="D1:P2 F3:P21 F22 I22:P22 F23:P31 F32:F33 I32:P33 F34:P34 F35:F37 I35:P38 F39:P39 F39:F40 I40:P40 F41:P41 H42:P42 F45:P45 H46:P60 F46:F89 I61:P67 I69:P97 F91:F97 D98:P109 D110:F115 I110:P115">
    <cfRule type="containsText" dxfId="92" priority="120" operator="containsText" text="Nee">
      <formula>NOT(ISERROR(SEARCH(("Nee"),(D1))))</formula>
    </cfRule>
    <cfRule type="cellIs" dxfId="91" priority="130" operator="equal">
      <formula>"Oppervlakkig"</formula>
    </cfRule>
    <cfRule type="cellIs" dxfId="90" priority="127" operator="equal">
      <formula>"Via andere grondstof"</formula>
    </cfRule>
  </conditionalFormatting>
  <conditionalFormatting sqref="D116:P124 D125:F127 D128:P139 D140:H145 D146:P158 D159:F176 D177:P178 D179:F186 D187:P193 I125:P127 I159:P176 I179:P186">
    <cfRule type="containsText" dxfId="89" priority="106" operator="containsText" text="Ja">
      <formula>NOT(ISERROR(SEARCH(("Ja"),(D116))))</formula>
    </cfRule>
  </conditionalFormatting>
  <conditionalFormatting sqref="D116:P124 D125:F127 I125:P127 D128:P139 D140:H145 D146:P158 D159:F176 I159:P176 D177:P178 D179:F186 I179:P186 D187:P193">
    <cfRule type="cellIs" dxfId="88" priority="109" operator="equal">
      <formula>"Oppervlakkig"</formula>
    </cfRule>
    <cfRule type="containsText" dxfId="87" priority="107" operator="containsText" text="Nee">
      <formula>NOT(ISERROR(SEARCH(("Nee"),(D116))))</formula>
    </cfRule>
    <cfRule type="cellIs" dxfId="86" priority="108" operator="equal">
      <formula>"Via andere grondstof"</formula>
    </cfRule>
  </conditionalFormatting>
  <conditionalFormatting sqref="F1:F37 F39:F42 F45:F89 F91:F131 G122:H123 F132:H132 F133:F193 C145:C152 B153 C154:C157 C159">
    <cfRule type="cellIs" dxfId="85" priority="125" operator="equal">
      <formula>"nvt"</formula>
    </cfRule>
  </conditionalFormatting>
  <conditionalFormatting sqref="F42:F43 H43:P44">
    <cfRule type="cellIs" dxfId="84" priority="23" operator="equal">
      <formula>"Via andere grondstof"</formula>
    </cfRule>
    <cfRule type="cellIs" dxfId="83" priority="26" operator="equal">
      <formula>"Oppervlakkig"</formula>
    </cfRule>
  </conditionalFormatting>
  <conditionalFormatting sqref="F42:F43">
    <cfRule type="containsText" dxfId="82" priority="13" operator="containsText" text="Ja">
      <formula>NOT(ISERROR(SEARCH(("Ja"),(F42))))</formula>
    </cfRule>
  </conditionalFormatting>
  <conditionalFormatting sqref="F43">
    <cfRule type="cellIs" dxfId="81" priority="12" operator="equal">
      <formula>"Betrouwbaar"</formula>
    </cfRule>
    <cfRule type="cellIs" dxfId="80" priority="21" operator="equal">
      <formula>"nvt"</formula>
    </cfRule>
  </conditionalFormatting>
  <conditionalFormatting sqref="F107:H109 F110:F115 F116:H124 F125:F126 F128:H158 R146:R193 F159:F176 F177:H178 F179:F186 F187:H193">
    <cfRule type="cellIs" dxfId="79" priority="105" operator="equal">
      <formula>"Betrouwbaar"</formula>
    </cfRule>
  </conditionalFormatting>
  <conditionalFormatting sqref="F23:P31 F34:P34 F39:P39 F41:P41 F45:P45 H46:P60 D98:P109 D110:F115 D1:P2 F3:P21 I22:P22 I32:P33 I35:P38 I40:P40 H42:P42 I61:P67 I69:P97 I110:P115 F22 F32:F33 F35:F37 F39:F40 F46:F89 F91:F97">
    <cfRule type="containsText" dxfId="78" priority="119" operator="containsText" text="Ja">
      <formula>NOT(ISERROR(SEARCH(("Ja"),(D1))))</formula>
    </cfRule>
  </conditionalFormatting>
  <conditionalFormatting sqref="G1:H21 F4:F16 F20 F23:F25 F27:F28 F30:F37 F39:F42 F45:F89 F91:F96 F98:H106 F127 C145:C152 B153 C154:C157 C159">
    <cfRule type="cellIs" dxfId="77" priority="121" operator="equal">
      <formula>"Betrouwbaar"</formula>
    </cfRule>
  </conditionalFormatting>
  <conditionalFormatting sqref="G23:H31 G34:H34 G39:H39 G41:H41 G45:H45 H46:H60 F104">
    <cfRule type="cellIs" dxfId="76" priority="115" operator="equal">
      <formula>"Betrouwbaar"</formula>
    </cfRule>
  </conditionalFormatting>
  <conditionalFormatting sqref="G110:H112">
    <cfRule type="cellIs" dxfId="75" priority="46" operator="equal">
      <formula>"Betrouwbaar"</formula>
    </cfRule>
  </conditionalFormatting>
  <conditionalFormatting sqref="G111:H112">
    <cfRule type="cellIs" dxfId="74" priority="45" operator="equal">
      <formula>"Oppervlakkig"</formula>
    </cfRule>
    <cfRule type="containsText" dxfId="73" priority="43" operator="containsText" text="Nee">
      <formula>NOT(ISERROR(SEARCH(("Nee"),(G111))))</formula>
    </cfRule>
    <cfRule type="cellIs" dxfId="72" priority="44" operator="equal">
      <formula>"Via andere grondstof"</formula>
    </cfRule>
    <cfRule type="containsText" dxfId="71" priority="42" operator="containsText" text="Ja">
      <formula>NOT(ISERROR(SEARCH(("Ja"),(G111))))</formula>
    </cfRule>
  </conditionalFormatting>
  <conditionalFormatting sqref="G111:H115">
    <cfRule type="cellIs" dxfId="70" priority="29" operator="equal">
      <formula>"Betrouwbaar"</formula>
    </cfRule>
  </conditionalFormatting>
  <conditionalFormatting sqref="G114:H115">
    <cfRule type="containsText" dxfId="69" priority="30" operator="containsText" text="Ja">
      <formula>NOT(ISERROR(SEARCH(("Ja"),(G114))))</formula>
    </cfRule>
    <cfRule type="containsText" dxfId="68" priority="31" operator="containsText" text="Nee">
      <formula>NOT(ISERROR(SEARCH(("Nee"),(G114))))</formula>
    </cfRule>
    <cfRule type="cellIs" dxfId="67" priority="32" operator="equal">
      <formula>"Via andere grondstof"</formula>
    </cfRule>
    <cfRule type="cellIs" dxfId="66" priority="33" operator="equal">
      <formula>"Oppervlakkig"</formula>
    </cfRule>
  </conditionalFormatting>
  <conditionalFormatting sqref="G114:H120">
    <cfRule type="cellIs" dxfId="65" priority="100" operator="equal">
      <formula>"Betrouwbaar"</formula>
    </cfRule>
  </conditionalFormatting>
  <conditionalFormatting sqref="H42:H44 R1:R139">
    <cfRule type="cellIs" dxfId="64" priority="17" operator="equal">
      <formula>"Betrouwbaar"</formula>
    </cfRule>
  </conditionalFormatting>
  <conditionalFormatting sqref="H43:P44 Z2:Z193">
    <cfRule type="containsText" dxfId="63" priority="15" operator="containsText" text="Ja">
      <formula>NOT(ISERROR(SEARCH(("Ja"),(H2))))</formula>
    </cfRule>
  </conditionalFormatting>
  <conditionalFormatting sqref="I68">
    <cfRule type="containsText" dxfId="62" priority="93" operator="containsText" text="Nee">
      <formula>NOT(ISERROR(SEARCH(("Nee"),(I68))))</formula>
    </cfRule>
    <cfRule type="colorScale" priority="91">
      <colorScale>
        <cfvo type="num" val="1"/>
        <cfvo type="num" val="3"/>
        <cfvo type="num" val="5"/>
        <color rgb="FF00B050"/>
        <color rgb="FFFFEB84"/>
        <color theme="5"/>
      </colorScale>
    </cfRule>
    <cfRule type="containsText" dxfId="61" priority="92" operator="containsText" text="Ja">
      <formula>NOT(ISERROR(SEARCH(("Ja"),(I68))))</formula>
    </cfRule>
    <cfRule type="cellIs" dxfId="60" priority="94" operator="equal">
      <formula>"Via andere grondstof"</formula>
    </cfRule>
    <cfRule type="cellIs" dxfId="59" priority="95" operator="equal">
      <formula>"Oppervlakkig"</formula>
    </cfRule>
  </conditionalFormatting>
  <conditionalFormatting sqref="I1:P139">
    <cfRule type="cellIs" dxfId="58" priority="6" operator="equal">
      <formula>0</formula>
    </cfRule>
  </conditionalFormatting>
  <conditionalFormatting sqref="I43:P44">
    <cfRule type="colorScale" priority="11">
      <colorScale>
        <cfvo type="num" val="1"/>
        <cfvo type="num" val="3"/>
        <cfvo type="num" val="5"/>
        <color rgb="FF00B050"/>
        <color rgb="FFFFEB84"/>
        <color theme="5"/>
      </colorScale>
    </cfRule>
  </conditionalFormatting>
  <conditionalFormatting sqref="I146:P193 I69:P139 I1:P42 I45:P67">
    <cfRule type="colorScale" priority="104">
      <colorScale>
        <cfvo type="num" val="1"/>
        <cfvo type="num" val="3"/>
        <cfvo type="num" val="5"/>
        <color rgb="FF00B050"/>
        <color rgb="FFFFEB84"/>
        <color theme="5"/>
      </colorScale>
    </cfRule>
  </conditionalFormatting>
  <conditionalFormatting sqref="I146:P193">
    <cfRule type="cellIs" dxfId="57" priority="102" operator="equal">
      <formula>0</formula>
    </cfRule>
  </conditionalFormatting>
  <conditionalFormatting sqref="I140:R145">
    <cfRule type="cellIs" dxfId="56" priority="122" operator="equal">
      <formula>"Nee"</formula>
    </cfRule>
  </conditionalFormatting>
  <conditionalFormatting sqref="J68">
    <cfRule type="containsText" dxfId="55" priority="86" operator="containsText" text="Ja">
      <formula>NOT(ISERROR(SEARCH(("Ja"),(J68))))</formula>
    </cfRule>
    <cfRule type="containsText" dxfId="54" priority="87" operator="containsText" text="Nee">
      <formula>NOT(ISERROR(SEARCH(("Nee"),(J68))))</formula>
    </cfRule>
    <cfRule type="cellIs" dxfId="53" priority="88" operator="equal">
      <formula>"Via andere grondstof"</formula>
    </cfRule>
    <cfRule type="cellIs" dxfId="52" priority="89" operator="equal">
      <formula>"Oppervlakkig"</formula>
    </cfRule>
    <cfRule type="colorScale" priority="85">
      <colorScale>
        <cfvo type="num" val="1"/>
        <cfvo type="num" val="3"/>
        <cfvo type="num" val="5"/>
        <color rgb="FF00B050"/>
        <color rgb="FFFFEB84"/>
        <color theme="5"/>
      </colorScale>
    </cfRule>
  </conditionalFormatting>
  <conditionalFormatting sqref="K68">
    <cfRule type="colorScale" priority="79">
      <colorScale>
        <cfvo type="num" val="1"/>
        <cfvo type="num" val="3"/>
        <cfvo type="num" val="5"/>
        <color rgb="FF00B050"/>
        <color rgb="FFFFEB84"/>
        <color theme="5"/>
      </colorScale>
    </cfRule>
    <cfRule type="containsText" dxfId="51" priority="81" operator="containsText" text="Nee">
      <formula>NOT(ISERROR(SEARCH(("Nee"),(K68))))</formula>
    </cfRule>
    <cfRule type="cellIs" dxfId="50" priority="82" operator="equal">
      <formula>"Via andere grondstof"</formula>
    </cfRule>
    <cfRule type="containsText" dxfId="49" priority="80" operator="containsText" text="Ja">
      <formula>NOT(ISERROR(SEARCH(("Ja"),(K68))))</formula>
    </cfRule>
    <cfRule type="cellIs" dxfId="48" priority="83" operator="equal">
      <formula>"Oppervlakkig"</formula>
    </cfRule>
  </conditionalFormatting>
  <conditionalFormatting sqref="L68">
    <cfRule type="cellIs" dxfId="47" priority="77" operator="equal">
      <formula>"Oppervlakkig"</formula>
    </cfRule>
    <cfRule type="cellIs" dxfId="46" priority="76" operator="equal">
      <formula>"Via andere grondstof"</formula>
    </cfRule>
    <cfRule type="containsText" dxfId="45" priority="75" operator="containsText" text="Nee">
      <formula>NOT(ISERROR(SEARCH(("Nee"),(L68))))</formula>
    </cfRule>
    <cfRule type="containsText" dxfId="44" priority="74" operator="containsText" text="Ja">
      <formula>NOT(ISERROR(SEARCH(("Ja"),(L68))))</formula>
    </cfRule>
    <cfRule type="colorScale" priority="73">
      <colorScale>
        <cfvo type="num" val="1"/>
        <cfvo type="num" val="3"/>
        <cfvo type="num" val="5"/>
        <color rgb="FF00B050"/>
        <color rgb="FFFFEB84"/>
        <color theme="5"/>
      </colorScale>
    </cfRule>
  </conditionalFormatting>
  <conditionalFormatting sqref="M68">
    <cfRule type="cellIs" dxfId="43" priority="71" operator="equal">
      <formula>"Oppervlakkig"</formula>
    </cfRule>
    <cfRule type="cellIs" dxfId="42" priority="70" operator="equal">
      <formula>"Via andere grondstof"</formula>
    </cfRule>
    <cfRule type="containsText" dxfId="41" priority="69" operator="containsText" text="Nee">
      <formula>NOT(ISERROR(SEARCH(("Nee"),(M68))))</formula>
    </cfRule>
    <cfRule type="containsText" dxfId="40" priority="68" operator="containsText" text="Ja">
      <formula>NOT(ISERROR(SEARCH(("Ja"),(M68))))</formula>
    </cfRule>
    <cfRule type="colorScale" priority="67">
      <colorScale>
        <cfvo type="num" val="1"/>
        <cfvo type="num" val="3"/>
        <cfvo type="num" val="5"/>
        <color rgb="FF00B050"/>
        <color rgb="FFFFEB84"/>
        <color theme="5"/>
      </colorScale>
    </cfRule>
  </conditionalFormatting>
  <conditionalFormatting sqref="N68">
    <cfRule type="cellIs" dxfId="39" priority="65" operator="equal">
      <formula>"Oppervlakkig"</formula>
    </cfRule>
    <cfRule type="colorScale" priority="61">
      <colorScale>
        <cfvo type="num" val="1"/>
        <cfvo type="num" val="3"/>
        <cfvo type="num" val="5"/>
        <color rgb="FF00B050"/>
        <color rgb="FFFFEB84"/>
        <color theme="5"/>
      </colorScale>
    </cfRule>
    <cfRule type="containsText" dxfId="38" priority="62" operator="containsText" text="Ja">
      <formula>NOT(ISERROR(SEARCH(("Ja"),(N68))))</formula>
    </cfRule>
    <cfRule type="containsText" dxfId="37" priority="63" operator="containsText" text="Nee">
      <formula>NOT(ISERROR(SEARCH(("Nee"),(N68))))</formula>
    </cfRule>
    <cfRule type="cellIs" dxfId="36" priority="64" operator="equal">
      <formula>"Via andere grondstof"</formula>
    </cfRule>
  </conditionalFormatting>
  <conditionalFormatting sqref="O68">
    <cfRule type="cellIs" dxfId="35" priority="53" operator="equal">
      <formula>"Oppervlakkig"</formula>
    </cfRule>
    <cfRule type="cellIs" dxfId="34" priority="52" operator="equal">
      <formula>"Via andere grondstof"</formula>
    </cfRule>
    <cfRule type="containsText" dxfId="33" priority="51" operator="containsText" text="Nee">
      <formula>NOT(ISERROR(SEARCH(("Nee"),(O68))))</formula>
    </cfRule>
    <cfRule type="colorScale" priority="49">
      <colorScale>
        <cfvo type="num" val="1"/>
        <cfvo type="num" val="3"/>
        <cfvo type="num" val="5"/>
        <color rgb="FF00B050"/>
        <color rgb="FFFFEB84"/>
        <color theme="5"/>
      </colorScale>
    </cfRule>
    <cfRule type="containsText" dxfId="32" priority="50" operator="containsText" text="Ja">
      <formula>NOT(ISERROR(SEARCH(("Ja"),(O68))))</formula>
    </cfRule>
  </conditionalFormatting>
  <conditionalFormatting sqref="P68">
    <cfRule type="cellIs" dxfId="31" priority="59" operator="equal">
      <formula>"Oppervlakkig"</formula>
    </cfRule>
    <cfRule type="cellIs" dxfId="30" priority="58" operator="equal">
      <formula>"Via andere grondstof"</formula>
    </cfRule>
    <cfRule type="containsText" dxfId="29" priority="57" operator="containsText" text="Nee">
      <formula>NOT(ISERROR(SEARCH(("Nee"),(P68))))</formula>
    </cfRule>
    <cfRule type="containsText" dxfId="28" priority="56" operator="containsText" text="Ja">
      <formula>NOT(ISERROR(SEARCH(("Ja"),(P68))))</formula>
    </cfRule>
    <cfRule type="colorScale" priority="55">
      <colorScale>
        <cfvo type="num" val="1"/>
        <cfvo type="num" val="3"/>
        <cfvo type="num" val="5"/>
        <color rgb="FF00B050"/>
        <color rgb="FFFFEB84"/>
        <color theme="5"/>
      </colorScale>
    </cfRule>
  </conditionalFormatting>
  <conditionalFormatting sqref="Q2:Q1048576">
    <cfRule type="cellIs" dxfId="27" priority="5" operator="greaterThan">
      <formula>2.4</formula>
    </cfRule>
  </conditionalFormatting>
  <conditionalFormatting sqref="S1:S42 T2:T42 I140:R145">
    <cfRule type="cellIs" dxfId="26" priority="123" operator="equal">
      <formula>"mogelijk"</formula>
    </cfRule>
    <cfRule type="cellIs" dxfId="25" priority="124" operator="equal">
      <formula>"Ja"</formula>
    </cfRule>
  </conditionalFormatting>
  <conditionalFormatting sqref="S1:S193">
    <cfRule type="cellIs" dxfId="24" priority="18" operator="equal">
      <formula>"Nee"</formula>
    </cfRule>
  </conditionalFormatting>
  <conditionalFormatting sqref="S43:T193">
    <cfRule type="cellIs" dxfId="23" priority="20" operator="equal">
      <formula>"Ja"</formula>
    </cfRule>
    <cfRule type="cellIs" dxfId="22" priority="19" operator="equal">
      <formula>"mogelijk"</formula>
    </cfRule>
  </conditionalFormatting>
  <conditionalFormatting sqref="T1:T193">
    <cfRule type="cellIs" dxfId="21" priority="22" operator="equal">
      <formula>"nvt"</formula>
    </cfRule>
  </conditionalFormatting>
  <conditionalFormatting sqref="T2:T193">
    <cfRule type="cellIs" dxfId="20" priority="27" operator="equal">
      <formula>"Nee"</formula>
    </cfRule>
  </conditionalFormatting>
  <conditionalFormatting sqref="V1:V193">
    <cfRule type="cellIs" dxfId="19" priority="28" operator="equal">
      <formula>"Nee"</formula>
    </cfRule>
    <cfRule type="beginsWith" dxfId="18" priority="14" operator="beginsWith" text="Gold">
      <formula>LEFT(V1,LEN("Gold"))="Gold"</formula>
    </cfRule>
    <cfRule type="cellIs" dxfId="17" priority="25" operator="equal">
      <formula>"Gold"</formula>
    </cfRule>
    <cfRule type="cellIs" dxfId="16" priority="24" operator="equal">
      <formula>"Ja"</formula>
    </cfRule>
  </conditionalFormatting>
  <conditionalFormatting sqref="Z2:Z193 H43:P44 F42:F43">
    <cfRule type="containsText" dxfId="15" priority="16" operator="containsText" text="Nee">
      <formula>NOT(ISERROR(SEARCH(("Nee"),(F2))))</formula>
    </cfRule>
  </conditionalFormatting>
  <hyperlinks>
    <hyperlink ref="G23" r:id="rId1" display="https://fred.stlouisfed.org/series/PCU32615032615041" xr:uid="{B05BCC97-F5BC-48A4-A42C-90DE8D5C8288}"/>
    <hyperlink ref="W31" r:id="rId2" xr:uid="{6D91918C-9877-468E-9B2D-1D3804EB4442}"/>
    <hyperlink ref="G127" r:id="rId3" display="https://www.stichtingupvtextiel.nl/wat-wij-doen/" xr:uid="{9EA4D1C4-543B-4900-AF8B-813FC3FB588B}"/>
    <hyperlink ref="G126" r:id="rId4" display="https://www.verpact.nl/nl/wij-zijn-verpact" xr:uid="{52E9A760-14E3-4DB7-BDB0-28CA164ABFB8}"/>
    <hyperlink ref="G125" r:id="rId5" display="https://www.stichting-open.org/samen/" xr:uid="{DD6A1E28-8FD5-4C9B-A9C6-07CD1F4A2DDF}"/>
    <hyperlink ref="G128" r:id="rId6" xr:uid="{A477A35E-6A7F-40F7-9D92-025838B65603}"/>
    <hyperlink ref="G124" r:id="rId7" xr:uid="{F287C8BE-CFF5-4414-917E-B3DF2C78BDCD}"/>
    <hyperlink ref="G122" r:id="rId8" xr:uid="{5582C322-CD37-44E6-99EA-52874081255E}"/>
    <hyperlink ref="G123" r:id="rId9" xr:uid="{FC99A2AA-7F70-46D6-8F61-652F52C5ECC3}"/>
    <hyperlink ref="G129" r:id="rId10" xr:uid="{AB1F0774-6585-4194-8B26-21071172EED0}"/>
    <hyperlink ref="G131" r:id="rId11" xr:uid="{5C74CE4D-BF0B-4F2F-9649-9D45D5B735A0}"/>
    <hyperlink ref="G130" r:id="rId12" xr:uid="{98C03CAF-DF6D-4AA3-B379-5E2063904F18}"/>
    <hyperlink ref="G133" r:id="rId13" display="Bureau Veritas" xr:uid="{F35475E4-D2B7-49BC-9270-A3C1244CC7B3}"/>
    <hyperlink ref="G134" r:id="rId14" xr:uid="{D232DC5B-CB74-4393-88AE-B2AD48084DEE}"/>
    <hyperlink ref="G132" r:id="rId15" xr:uid="{5AAFFD69-E553-40CF-A3C6-35F1E0BB5D2D}"/>
    <hyperlink ref="G135" r:id="rId16" xr:uid="{4DE240D1-09C6-4471-B20B-F2F2CA300C86}"/>
    <hyperlink ref="G136" r:id="rId17" xr:uid="{7889CCE2-A25C-474D-9A89-CAA66C0B9762}"/>
    <hyperlink ref="G137" r:id="rId18" xr:uid="{24FB9CE4-42E9-4984-8A39-650A600DBFE5}"/>
    <hyperlink ref="G138" r:id="rId19" xr:uid="{E5796F11-B150-471E-AEE8-6ED99B3284BE}"/>
    <hyperlink ref="G139" r:id="rId20" xr:uid="{376A1B41-FE20-42E1-9CEF-F38AE4296A9E}"/>
    <hyperlink ref="G187" r:id="rId21" xr:uid="{A9B958D0-6918-40CA-B8FA-8303DD9C71D6}"/>
    <hyperlink ref="G179" r:id="rId22" display="https://www.zuid-holland.nl/online-regelen/subsidies/subsidies/mit-haalbaarheidsprojecten/" xr:uid="{98CDD6C0-6555-4D34-B004-991A51339838}"/>
    <hyperlink ref="G180" r:id="rId23" display="https://www.rvo.nl/subsidies-financiering/tse-industrie-studies" xr:uid="{C7AC3F30-703C-407B-BE8E-56C8D848BDFD}"/>
    <hyperlink ref="G181" r:id="rId24" display="https://www.topsectorenergie.nl/" xr:uid="{149C8A97-42F1-4F41-997B-F0B4F3944853}"/>
    <hyperlink ref="G182" r:id="rId25" display="https://www.rvo.nl/subsidies-financiering/mit-rd-samenwerkingsprojecten" xr:uid="{93665575-102C-4E70-8924-7A90F98141FB}"/>
    <hyperlink ref="G183" r:id="rId26" display="https://www.rvo.nl/subsidies-financiering/dei/circulaire-economie" xr:uid="{D544D10D-4CE6-407A-B540-61007FEE7D08}"/>
    <hyperlink ref="G98" r:id="rId27" display="https://www.grandviewresearch.com/industry-analysis/eco-friendly-furniture-market" xr:uid="{CE1C58A8-B08D-46EA-B77A-0631DA20CA71}"/>
    <hyperlink ref="G99" r:id="rId28" display="https://market.us/report/eco-friendly-furniture-market/" xr:uid="{5E144A08-2A21-4B34-9622-A5EEDCCEB30B}"/>
    <hyperlink ref="G102" r:id="rId29" display="https://www.grandviewresearch.com/industry-analysis/eco-friendly-furniture-market" xr:uid="{F3D6B0FA-5060-420E-906D-BF215ED502DC}"/>
    <hyperlink ref="G103" r:id="rId30" display="https://market.us/report/eco-friendly-furniture-market/" xr:uid="{90B32ED0-BD56-4E92-ADA6-147106577AD4}"/>
    <hyperlink ref="G100" r:id="rId31" location="revenue" display="https://www.statista.com/outlook/cmo/furniture/worldwide#revenue" xr:uid="{4289D053-C6AD-40D1-A3C1-A90AB8C99643}"/>
    <hyperlink ref="G105" r:id="rId32" xr:uid="{DE58736B-95AE-4EE9-AABD-4E5420B80CFD}"/>
    <hyperlink ref="G106" r:id="rId33" xr:uid="{ABD9C50A-EBC5-425E-B730-AEBE01EF3132}"/>
    <hyperlink ref="G61" r:id="rId34" display="https://worldpopulationreview.com/country-rankings/metals-by-country" xr:uid="{BC50313A-E37C-4B19-AAF9-956908243438}"/>
    <hyperlink ref="G63" r:id="rId35" display="https://worldstainless.org/media/press-releases/worldstainless-releases-stainless-steel-melt-shop-production-for-q1-2025" xr:uid="{13AB2767-7CBA-4848-BCB8-B202411D4D88}"/>
    <hyperlink ref="G69" r:id="rId36" location="explore-data-on-metals-and-minerals" display="https://ourworldindata.org/metals-minerals#explore-data-on-metals-and-minerals" xr:uid="{23E5B8C0-51EA-42DA-90CD-575BF475739B}"/>
    <hyperlink ref="G74" r:id="rId37" xr:uid="{F45561BB-A49B-4DCA-894F-53447C594C87}"/>
    <hyperlink ref="G77" r:id="rId38" xr:uid="{D1FE4140-B17D-4729-ADC7-CF24CE449DE8}"/>
    <hyperlink ref="G82" r:id="rId39" xr:uid="{E8CC3489-3791-44E4-98D8-5B5A9170F22A}"/>
    <hyperlink ref="G84" r:id="rId40" display="PE_TheFacts_25_digital-1pager-scrollable.pdf" xr:uid="{2247DF13-87F2-43B6-9973-AAE0723E4EB4}"/>
    <hyperlink ref="G91" r:id="rId41" xr:uid="{78300E31-4AB0-47CB-8EF1-D7E22BEB9ACD}"/>
    <hyperlink ref="G66" r:id="rId42" display="https://worldpopulationreview.com/country-rankings/steel-production-by-country" xr:uid="{40789476-68FA-4441-8924-827805A9BAA8}"/>
    <hyperlink ref="G64" r:id="rId43" display="https://worldsteel.org/data/annual-production-steel-data/?ind=P1_crude_steel_total_pub/CHN/IND" xr:uid="{01F8AF91-8B17-42AF-AFCF-A4730A312991}"/>
    <hyperlink ref="G65" r:id="rId44" display="https://worldstainless.org/wp-content/uploads/2024/07/ISSF_Stainless_Steel_in_Figures_2020_English_public_version.pdf" xr:uid="{A084BAE7-29D3-4265-BEAA-B9B7F0BF0978}"/>
    <hyperlink ref="G68" r:id="rId45" display="https://international-aluminium.org/statistics/primary-aluminium-production/?publication=primary-aluminium-production&amp;filter=%7B%22row%22%3A85%2C%22group%22%3Anull%2C%22multiGroup%22%3A%5B%5D%2C%22dateRange%22%3A%22monthly%22%2C%22monthFrom%22%3A12%2C%22monthTo%22%3A12%2C%22quarterFrom%22%3A1%2C%22quarterTo%22%3A4%2C%22yearFrom%22%3A2025%2C%22yearTo%22%3A2025%2C%22multiRow%22%3A%5B85%5D%2C%22columns%22%3A%5B1%2C2%2C3%2C4%2C5%2C6%2C106%2C7%2C8%2C9%2C10%5D%2C%22activeChartIndex%22%3A0%2C%22activeChartType%22%3A%22map%22%7D" xr:uid="{A6D34136-D356-4ABA-99F6-3728B0C37925}"/>
    <hyperlink ref="G76" r:id="rId46" display="https://icac.shinyapps.io/ICAC_Open_Data_Dashboaard/" xr:uid="{41740D99-B23B-4E9B-8C77-95605F1CFBEC}"/>
    <hyperlink ref="G79" r:id="rId47" display="https://worldpopulationreview.com/country-rankings/wool-production-by-country" xr:uid="{EAE4F3CA-561B-4C1F-B263-4422CF2F7066}"/>
    <hyperlink ref="G81" r:id="rId48" xr:uid="{CB5351EB-E61A-4B2D-96AD-8A44F01B1F69}"/>
    <hyperlink ref="G88" r:id="rId49" display="https://www.statista.com/statistics/858584/global-linear-low-density-polyethylene-production-distribution-by-region/" xr:uid="{E02CDAB1-A443-4059-8D97-FB8DF97EBCF1}"/>
    <hyperlink ref="G85" r:id="rId50" xr:uid="{FACAD745-3683-470B-A618-09CDE14B35F8}"/>
    <hyperlink ref="G153" r:id="rId51" xr:uid="{E4357A7F-FDB7-4FCF-B528-C4D8AC99F170}"/>
    <hyperlink ref="G147" r:id="rId52" xr:uid="{5AA6868E-7110-4B54-9783-0C6194BD17DC}"/>
    <hyperlink ref="G146" r:id="rId53" display="AMJ" xr:uid="{BA2E9D5D-6635-4D4E-9A17-95A48DBFDDE6}"/>
    <hyperlink ref="G154" r:id="rId54" xr:uid="{E752A4FE-E085-4E22-9318-797D36C1545A}"/>
    <hyperlink ref="G148" r:id="rId55" xr:uid="{8C7DFC91-9FB8-42B3-8900-073DA50BAAED}"/>
    <hyperlink ref="G17" r:id="rId56" display="https://ec.europa.eu/eurostat/databrowser/view/sts_inppd_m__custom_20127609/default/table" xr:uid="{30B51787-9BBD-45B2-9FAC-B86AF12971C9}"/>
    <hyperlink ref="G21" r:id="rId57" display="https://ec.europa.eu/eurostat/databrowser/view/sts_inppd_m__custom_20127609/default/table" xr:uid="{3ACBFCA1-E1E0-4444-8DBD-6401828AD021}"/>
    <hyperlink ref="G26" r:id="rId58" display="https://ec.europa.eu/eurostat/databrowser/view/sts_inppd_m__custom_20127609/default/table" xr:uid="{4A3F9DD4-D4AA-4D05-9BB8-02AF1EF9FB63}"/>
    <hyperlink ref="G29" r:id="rId59" display="https://ec.europa.eu/eurostat/databrowser/view/sts_inppd_m__custom_20127609/default/table" xr:uid="{409144BA-D8D0-4896-9033-649BB891290D}"/>
    <hyperlink ref="G30" r:id="rId60" display="https://ec.europa.eu/eurostat/databrowser/view/sts_inppd_m__custom_20127609/default/table" xr:uid="{6C577B3C-BCF2-4A9C-B555-6ADF02EE8FAF}"/>
    <hyperlink ref="G27" r:id="rId61" display="https://fred.stlouisfed.org/series/WPU034201" xr:uid="{D330D805-EF6F-48B6-BFA6-CB36E2382560}"/>
    <hyperlink ref="G28" r:id="rId62" display="https://fred.stlouisfed.org/series/PWOOLCUSDM/" xr:uid="{D0B9F37F-BD1D-4208-8340-E3FAC086B775}"/>
    <hyperlink ref="G41" r:id="rId63" display="https://fred.stlouisfed.org/series/WPU072C" xr:uid="{2E200671-3D7A-4523-B109-AD47ABADD028}"/>
    <hyperlink ref="G159" r:id="rId64" display="https://www.kiwa.com/nl/nl/expertisegebieden/duurzaamheid/circulair-ondernemen/wat-kunnen-organisaties-verwachten/" xr:uid="{F0373E9E-4C37-4504-BB98-788DC48CF39B}"/>
    <hyperlink ref="G175" r:id="rId65" display="https://www.sustanea.com/blogs/blog-1-duurzaamheidscertificaten-uitgelegd-welke-certificaten-zijn-er-in-de-interieurbranche-en" xr:uid="{5A576587-40D8-43F5-8728-5D4C94A98BA0}"/>
    <hyperlink ref="G161" r:id="rId66" display="https://www.co2-prestatieladder.nl/wat-is-de-co2-prestatieladder/" xr:uid="{DEEF32C8-73A3-4E24-9C21-BEBF41086B21}"/>
    <hyperlink ref="G163" r:id="rId67" display="https://www.bouwprofi.nl/klusadvies/verschil-fsc-en-pefc" xr:uid="{E0345CC7-7AD0-4237-BFAF-7EAEBEB2E57E}"/>
    <hyperlink ref="G165" r:id="rId68" display="https://www.bouwprofi.nl/klusadvies/verschil-fsc-en-pefc" xr:uid="{4A3DB1D9-E1D5-4FA3-83F4-0DC2680CB922}"/>
    <hyperlink ref="G167" r:id="rId69" display="https://www.artisanfurniture.net/nl/furniture-trends/certifications-for-sustainable-furniture/" xr:uid="{78732F59-CB48-40DA-B1D9-5FE596E9DA12}"/>
    <hyperlink ref="G169" r:id="rId70" display="https://www.sustanea.com/blogs/blog-1-duurzaamheidscertificaten-uitgelegd-welke-certificaten-zijn-er-in-de-interieurbranche-en" xr:uid="{8C01154A-D6BC-454E-B8F7-6FDCC2DE3395}"/>
    <hyperlink ref="G171" r:id="rId71" display="https://www.artisanfurniture.net/nl/furniture-trends/certifications-for-sustainable-furniture/" xr:uid="{C47F687E-83B4-4B18-9F83-6AFCCFE87505}"/>
    <hyperlink ref="G173" r:id="rId72" display="https://www.sustanea.com/blogs/blog-1-duurzaamheidscertificaten-uitgelegd-welke-certificaten-zijn-er-in-de-interieurbranche-en" xr:uid="{0E8F3B5B-7ECD-40D7-A1CB-398AEBA39C20}"/>
    <hyperlink ref="G176" r:id="rId73" display="Natrueplus Insitute" xr:uid="{1FED1530-CEFB-494E-B84C-9E450C3753FD}"/>
    <hyperlink ref="G174" r:id="rId74" xr:uid="{22B1EC52-BC3C-43B8-BF25-B8980F0F3B12}"/>
    <hyperlink ref="G32" r:id="rId75" display="https://fred.stlouisfed.org/series/WPU072205011" xr:uid="{EF73C427-9B6B-484C-8B2D-3628F0110731}"/>
    <hyperlink ref="G35" r:id="rId76" display="https://fred.stlouisfed.org/series/WPU072205011" xr:uid="{393117BF-1F42-409C-90BD-7A4A6938DB14}"/>
    <hyperlink ref="G39" r:id="rId77" display="https://ec.europa.eu/eurostat/databrowser/view/sts_inppd_m__custom_20127609/default/table" xr:uid="{EEA6A468-8FEF-4BD6-BD5F-C3190E03D95F}"/>
    <hyperlink ref="G37" r:id="rId78" display="https://fred.stlouisfed.org/series/PCU32612232612213" xr:uid="{0BCD161F-4DE0-4AC8-A8BC-F352E4A023E9}"/>
    <hyperlink ref="G40" r:id="rId79" display="https://fred.stlouisfed.org/series/WPU091507" xr:uid="{3CBB3306-4EBC-4E7A-A04D-3D276BC1D217}"/>
    <hyperlink ref="G119" r:id="rId80" xr:uid="{1E65B290-F05B-4FB5-B290-8B0BDD52AC30}"/>
    <hyperlink ref="G120" r:id="rId81" location="//23/2//nl" xr:uid="{3EAB85FF-D59E-4386-A084-E50D153EA4B2}"/>
    <hyperlink ref="G116" r:id="rId82" xr:uid="{D36B826E-8740-400B-BEB4-238EA37EBA0F}"/>
    <hyperlink ref="G118" r:id="rId83" xr:uid="{C328038F-2F59-4D71-9D61-5E89AA223F8D}"/>
    <hyperlink ref="G117" r:id="rId84" xr:uid="{47E64052-4AAC-4247-A2EF-395D44DFBECB}"/>
    <hyperlink ref="G19" r:id="rId85" display="https://fred.stlouisfed.org/series/WPU10170674" xr:uid="{2A36856E-2557-4276-8200-D0AB1D099002}"/>
    <hyperlink ref="G33" r:id="rId86" display="https://www.plasticportal.eu/price-reports/2026/2" xr:uid="{76E49762-83A0-4562-BAC4-8956C4B06E30}"/>
    <hyperlink ref="G38" r:id="rId87" display="https://www.plasticportal.eu/price-reports/2026/2" xr:uid="{2C92312F-B3C0-473C-9BC0-DCA9EC04B5BE}"/>
    <hyperlink ref="G22" r:id="rId88" display="https://fred.stlouisfed.org/series/WPU07260305" xr:uid="{F1AB4040-AB73-4E8F-960D-4A7D9AC47F25}"/>
    <hyperlink ref="G36" r:id="rId89" display="https://www.plasticportal.eu/price-reports/2026/2" xr:uid="{FEAADDC7-FC73-4096-9923-6D3E00DA9764}"/>
    <hyperlink ref="G150" r:id="rId90" xr:uid="{6EC0FCF9-E019-4464-8041-766B5C4BB7F7}"/>
    <hyperlink ref="R116" r:id="rId91" display="World Furniture Online" xr:uid="{F6CDB2B2-63B3-41B9-8E6D-79A7D7B17484}"/>
    <hyperlink ref="R118" r:id="rId92" location="revenue" display="https://www.statista.com/outlook/cmo/furniture/worldwide#revenue" xr:uid="{6662CD8A-78CF-496A-B203-B78199198CE8}"/>
    <hyperlink ref="G110" r:id="rId93" xr:uid="{9A1379A5-7235-487A-84B9-5F9F954713E1}"/>
    <hyperlink ref="G111" r:id="rId94" display="https://www.grandviewresearch.com/industry-analysis/eco-friendly-furniture-market" xr:uid="{ED843241-369D-41BD-BC29-3E6317D9EB2E}"/>
    <hyperlink ref="G114" r:id="rId95" display="https://www.grandviewresearch.com/industry-analysis/eco-friendly-furniture-market" xr:uid="{489C485F-2BD3-442E-AC30-321ADBAF0E83}"/>
    <hyperlink ref="G113" r:id="rId96" xr:uid="{B1192033-FED9-4DED-B829-AB61B0A57430}"/>
    <hyperlink ref="G112" r:id="rId97" display="https://www.grandviewresearch.com/industry-analysis/eco-friendly-furniture-market" xr:uid="{20EE4121-098A-4895-9675-CAF0F9A9171A}"/>
    <hyperlink ref="G115" r:id="rId98" display="https://www.grandviewresearch.com/industry-analysis/eco-friendly-furniture-market" xr:uid="{44564154-1A92-4815-BDD1-A6A5B97D6A16}"/>
    <hyperlink ref="G62" r:id="rId99" display="https://comtradeplus.un.org/" xr:uid="{3E2C6391-610E-4851-9970-73BD7E019BD5}"/>
    <hyperlink ref="G67" r:id="rId100" display="https://comtradeplus.un.org/" xr:uid="{950EDB29-744A-4A2A-A2E2-B74AEB03DBA5}"/>
    <hyperlink ref="G70" r:id="rId101" display="https://comtradeplus.un.org/" xr:uid="{6D46AEDC-9CBA-4277-8A37-7CD7670FD8EE}"/>
    <hyperlink ref="G71" r:id="rId102" display="https://comtradeplus.un.org/" xr:uid="{7B3FDFA5-ABAF-43F4-A029-4C5C5059E314}"/>
    <hyperlink ref="G72" r:id="rId103" display="https://comtradeplus.un.org/" xr:uid="{CF2E3F82-CDFD-428C-BC68-2FAA5B5C6A16}"/>
    <hyperlink ref="G73" r:id="rId104" display="https://comtradeplus.un.org/" xr:uid="{588FDF2A-6CCC-4047-8204-51D636222144}"/>
    <hyperlink ref="G75" r:id="rId105" display="https://comtradeplus.un.org/" xr:uid="{31C0C24D-1832-4E74-97D7-2CB5E69E6165}"/>
    <hyperlink ref="G78" r:id="rId106" display="https://comtradeplus.un.org/" xr:uid="{EDFA7FA3-0D7B-4521-A629-451ADEBD5723}"/>
    <hyperlink ref="G80" r:id="rId107" display="https://comtradeplus.un.org/" xr:uid="{C29B9AE6-AC64-4C45-94D8-FAC1C2956CAC}"/>
    <hyperlink ref="G83" r:id="rId108" display="https://comtradeplus.un.org/" xr:uid="{4F7AA78B-4E04-4EC5-A004-073F3A4CFE9E}"/>
    <hyperlink ref="G86" r:id="rId109" display="https://comtradeplus.un.org/" xr:uid="{BAC115F2-5590-4429-AF77-E3BBB9A9980D}"/>
    <hyperlink ref="G87" r:id="rId110" display="https://comtradeplus.un.org/" xr:uid="{F5ADF4DA-E32F-477D-AAEF-4997EE9F5463}"/>
    <hyperlink ref="G89" r:id="rId111" display="https://comtradeplus.un.org/" xr:uid="{F4E776C4-0CCC-42CC-A0E6-8E0D66757B64}"/>
    <hyperlink ref="G92" r:id="rId112" display="https://comtradeplus.un.org/" xr:uid="{CBCA61C7-4CCB-425A-89C4-6B20A448FB8A}"/>
    <hyperlink ref="G93" r:id="rId113" display="https://comtradeplus.un.org/" xr:uid="{F77D4322-0D03-420C-9CEB-804C858DCF3C}"/>
    <hyperlink ref="G94" r:id="rId114" display="https://comtradeplus.un.org/" xr:uid="{C37BD56E-0431-4D25-9123-6C2C96B71199}"/>
    <hyperlink ref="G95" r:id="rId115" display="https://comtradeplus.un.org/" xr:uid="{D053EEF9-4D46-4642-8007-C2A0C3ED0F13}"/>
    <hyperlink ref="G96" r:id="rId116" display="https://comtradeplus.un.org/" xr:uid="{9BD81836-44AE-47C2-916F-D6A29A3FFC97}"/>
    <hyperlink ref="G47" r:id="rId117" display="https://comtradeplus.un.org/" xr:uid="{178E96EB-2D59-4287-BDC0-AAD401AC4003}"/>
    <hyperlink ref="G48" r:id="rId118" display="https://comtradeplus.un.org/" xr:uid="{04EB4087-5DD3-46D8-98B6-CC8BAED93C9A}"/>
    <hyperlink ref="G49" r:id="rId119" display="https://comtradeplus.un.org/" xr:uid="{07BDE5F2-8FFE-4552-8DDD-51DA3924E710}"/>
    <hyperlink ref="G50" r:id="rId120" display="https://comtradeplus.un.org/" xr:uid="{A6BDBB36-AEE6-4A64-B5A6-B5E902FCE797}"/>
    <hyperlink ref="G53" r:id="rId121" display="https://comtradeplus.un.org/" xr:uid="{1432BEE0-5E8A-4F43-A601-E86B33B99587}"/>
    <hyperlink ref="G55" r:id="rId122" display="https://comtradeplus.un.org/" xr:uid="{BD7C47F8-3199-4E63-9BC8-56F0EFDEF5DE}"/>
    <hyperlink ref="G60" r:id="rId123" display="https://comtradeplus.un.org/" xr:uid="{2B92A8DE-CA37-43FD-BA81-5C501835F17F}"/>
    <hyperlink ref="G57" r:id="rId124" display="https://comtradeplus.un.org/" xr:uid="{D6EB3C62-B24F-42DB-AD64-CE64E50765E2}"/>
    <hyperlink ref="G42" r:id="rId125" display="https://ec.europa.eu/eurostat/databrowser/view/cei_srm040__custom_20243394/default/table" xr:uid="{722B7B4D-A24C-4B12-9D56-A11515EBB8B3}"/>
    <hyperlink ref="G43" r:id="rId126" display="https://fred.stlouisfed.org/series/PCU4299304299301" xr:uid="{64D2A6E6-A8B8-428D-BA16-F72F190469C5}"/>
    <hyperlink ref="G44" r:id="rId127" display="https://fred.stlouisfed.org/series/PCU4299304299302" xr:uid="{DCABD4E3-FF52-4DF5-A57C-DC0392193462}"/>
    <hyperlink ref="G4" r:id="rId128" xr:uid="{09A6BB08-7E50-4855-A12C-7F5FB260CB6C}"/>
  </hyperlinks>
  <pageMargins left="0" right="0" top="0" bottom="0" header="0" footer="0"/>
  <legacyDrawing r:id="rId12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E886-7B4A-429D-B6A7-7DAA8375EE9E}">
  <dimension ref="B2:E6"/>
  <sheetViews>
    <sheetView workbookViewId="0">
      <selection activeCell="B6" sqref="B6"/>
    </sheetView>
  </sheetViews>
  <sheetFormatPr defaultRowHeight="13.2"/>
  <cols>
    <col min="2" max="2" width="24.21875" customWidth="1"/>
    <col min="3" max="3" width="16.21875" bestFit="1" customWidth="1"/>
    <col min="4" max="4" width="20.21875" bestFit="1" customWidth="1"/>
    <col min="5" max="5" width="55" bestFit="1" customWidth="1"/>
  </cols>
  <sheetData>
    <row r="2" spans="2:5">
      <c r="B2" s="186" t="s">
        <v>62</v>
      </c>
      <c r="C2" s="186" t="s">
        <v>63</v>
      </c>
      <c r="D2" s="186" t="s">
        <v>64</v>
      </c>
      <c r="E2" s="186" t="s">
        <v>404</v>
      </c>
    </row>
    <row r="3" spans="2:5">
      <c r="B3" s="185" t="s">
        <v>403</v>
      </c>
      <c r="C3" s="185" t="s">
        <v>134</v>
      </c>
      <c r="D3" s="185" t="s">
        <v>135</v>
      </c>
      <c r="E3" s="194" t="s">
        <v>406</v>
      </c>
    </row>
    <row r="4" spans="2:5">
      <c r="B4" s="185" t="s">
        <v>403</v>
      </c>
      <c r="C4" t="s">
        <v>122</v>
      </c>
      <c r="D4" t="s">
        <v>86</v>
      </c>
      <c r="E4" s="185" t="s">
        <v>407</v>
      </c>
    </row>
    <row r="5" spans="2:5">
      <c r="B5" s="185" t="s">
        <v>403</v>
      </c>
      <c r="C5" t="s">
        <v>122</v>
      </c>
      <c r="D5" t="s">
        <v>123</v>
      </c>
      <c r="E5" s="185" t="s">
        <v>407</v>
      </c>
    </row>
    <row r="6" spans="2:5">
      <c r="B6" s="185" t="s">
        <v>403</v>
      </c>
      <c r="C6" t="s">
        <v>122</v>
      </c>
      <c r="D6" t="s">
        <v>126</v>
      </c>
      <c r="E6" s="185" t="s">
        <v>407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A1:Y144"/>
  <sheetViews>
    <sheetView topLeftCell="G1" zoomScale="70" zoomScaleNormal="70" workbookViewId="0">
      <pane ySplit="2" topLeftCell="A3" activePane="bottomLeft" state="frozen"/>
      <selection pane="bottomLeft" activeCell="J20" sqref="J20"/>
    </sheetView>
  </sheetViews>
  <sheetFormatPr defaultColWidth="12.5546875" defaultRowHeight="15.75" customHeight="1"/>
  <cols>
    <col min="2" max="2" width="17.5546875" customWidth="1"/>
    <col min="3" max="3" width="22.77734375" customWidth="1"/>
    <col min="4" max="4" width="29.77734375" customWidth="1"/>
    <col min="5" max="5" width="17.77734375" customWidth="1"/>
    <col min="6" max="6" width="14.5546875" customWidth="1"/>
    <col min="7" max="7" width="16.77734375" customWidth="1"/>
    <col min="8" max="8" width="32.77734375" customWidth="1"/>
    <col min="9" max="16" width="14.5546875" customWidth="1"/>
    <col min="17" max="17" width="16.77734375" customWidth="1"/>
    <col min="18" max="19" width="13.5546875" customWidth="1"/>
    <col min="21" max="21" width="0" hidden="1" customWidth="1"/>
    <col min="22" max="22" width="27" customWidth="1"/>
    <col min="25" max="25" width="12.5546875" style="20"/>
  </cols>
  <sheetData>
    <row r="1" spans="1:25" ht="37.5" customHeight="1">
      <c r="A1" s="20"/>
      <c r="B1" s="20"/>
      <c r="C1" s="21"/>
      <c r="D1" s="21"/>
      <c r="E1" s="20"/>
      <c r="F1" s="20"/>
      <c r="G1" s="21"/>
      <c r="H1" s="21"/>
      <c r="I1" s="21"/>
      <c r="J1" s="355" t="s">
        <v>337</v>
      </c>
      <c r="K1" s="355"/>
      <c r="L1" s="355"/>
      <c r="M1" s="355"/>
      <c r="N1" s="355"/>
      <c r="O1" s="355"/>
      <c r="P1" s="355"/>
      <c r="Q1" s="355"/>
      <c r="R1" s="21"/>
      <c r="S1" s="21"/>
      <c r="T1" s="20"/>
      <c r="U1" s="20"/>
      <c r="V1" s="21"/>
      <c r="W1" s="20"/>
      <c r="X1" s="20"/>
    </row>
    <row r="2" spans="1:25" ht="52.8">
      <c r="A2" s="22"/>
      <c r="B2" s="23" t="s">
        <v>62</v>
      </c>
      <c r="C2" s="24" t="s">
        <v>63</v>
      </c>
      <c r="D2" s="24" t="s">
        <v>64</v>
      </c>
      <c r="E2" s="23" t="s">
        <v>65</v>
      </c>
      <c r="F2" s="23" t="s">
        <v>66</v>
      </c>
      <c r="G2" s="24" t="s">
        <v>67</v>
      </c>
      <c r="H2" s="59" t="s">
        <v>338</v>
      </c>
      <c r="I2" s="24" t="s">
        <v>77</v>
      </c>
      <c r="J2" s="24" t="s">
        <v>68</v>
      </c>
      <c r="K2" s="24" t="s">
        <v>69</v>
      </c>
      <c r="L2" s="24" t="s">
        <v>70</v>
      </c>
      <c r="M2" s="24" t="s">
        <v>71</v>
      </c>
      <c r="N2" s="24" t="s">
        <v>339</v>
      </c>
      <c r="O2" s="24" t="s">
        <v>340</v>
      </c>
      <c r="P2" s="24" t="s">
        <v>341</v>
      </c>
      <c r="Q2" s="24" t="s">
        <v>75</v>
      </c>
      <c r="R2" s="24" t="s">
        <v>78</v>
      </c>
      <c r="S2" s="24" t="s">
        <v>79</v>
      </c>
      <c r="T2" s="23" t="s">
        <v>80</v>
      </c>
      <c r="U2" s="24" t="s">
        <v>81</v>
      </c>
      <c r="V2" s="24" t="s">
        <v>82</v>
      </c>
      <c r="W2" s="23" t="s">
        <v>83</v>
      </c>
      <c r="X2" s="23" t="s">
        <v>84</v>
      </c>
      <c r="Y2" s="23" t="s">
        <v>85</v>
      </c>
    </row>
    <row r="3" spans="1:25" ht="66">
      <c r="A3" s="20"/>
      <c r="B3" s="25" t="s">
        <v>86</v>
      </c>
      <c r="C3" s="26" t="s">
        <v>87</v>
      </c>
      <c r="D3" s="26"/>
      <c r="E3" s="25"/>
      <c r="F3" s="25"/>
      <c r="G3" s="26"/>
      <c r="H3" s="26"/>
      <c r="I3" s="26"/>
      <c r="J3" s="26"/>
      <c r="K3" s="26"/>
      <c r="L3" s="26"/>
      <c r="M3" s="26"/>
      <c r="N3" s="26"/>
      <c r="O3" s="26"/>
      <c r="P3" s="26"/>
      <c r="Q3" s="26"/>
      <c r="R3" s="26" t="s">
        <v>17</v>
      </c>
      <c r="S3" s="26" t="s">
        <v>23</v>
      </c>
      <c r="T3" s="25"/>
      <c r="U3" s="25" t="s">
        <v>18</v>
      </c>
      <c r="V3" s="26" t="s">
        <v>88</v>
      </c>
      <c r="W3" s="25"/>
      <c r="X3" s="25"/>
      <c r="Y3" s="25" t="s">
        <v>23</v>
      </c>
    </row>
    <row r="4" spans="1:25" ht="26.4">
      <c r="A4" s="20"/>
      <c r="B4" s="327" t="s">
        <v>89</v>
      </c>
      <c r="C4" s="27" t="s">
        <v>90</v>
      </c>
      <c r="D4" s="27" t="s">
        <v>86</v>
      </c>
      <c r="E4" s="25" t="s">
        <v>17</v>
      </c>
      <c r="F4" s="25" t="s">
        <v>91</v>
      </c>
      <c r="G4" s="26" t="s">
        <v>92</v>
      </c>
      <c r="H4" s="26"/>
      <c r="I4" s="26" t="s">
        <v>93</v>
      </c>
      <c r="J4" s="26"/>
      <c r="K4" s="26"/>
      <c r="L4" s="26"/>
      <c r="M4" s="26"/>
      <c r="N4" s="26"/>
      <c r="O4" s="26"/>
      <c r="P4" s="26"/>
      <c r="Q4" s="26"/>
      <c r="R4" s="26" t="s">
        <v>23</v>
      </c>
      <c r="S4" s="26" t="s">
        <v>94</v>
      </c>
      <c r="T4" s="25"/>
      <c r="U4" s="25" t="s">
        <v>95</v>
      </c>
      <c r="V4" s="26" t="s">
        <v>96</v>
      </c>
      <c r="W4" s="25"/>
      <c r="X4" s="25"/>
      <c r="Y4" s="25" t="s">
        <v>17</v>
      </c>
    </row>
    <row r="5" spans="1:25" ht="13.2">
      <c r="A5" s="20"/>
      <c r="B5" s="338"/>
      <c r="C5" s="305" t="s">
        <v>97</v>
      </c>
      <c r="D5" s="26" t="s">
        <v>98</v>
      </c>
      <c r="E5" s="28" t="s">
        <v>99</v>
      </c>
      <c r="F5" s="26" t="str">
        <f t="shared" ref="F5:F9" si="0">IF(E5="Nee","-","&lt;vul in&gt;")</f>
        <v>&lt;vul in&gt;</v>
      </c>
      <c r="G5" s="26"/>
      <c r="H5" s="26"/>
      <c r="I5" s="26" t="str">
        <f t="shared" ref="I5:I9" si="1">IF(E5="Nee","-","&lt;vul in&gt;")</f>
        <v>&lt;vul in&gt;</v>
      </c>
      <c r="J5" s="26"/>
      <c r="K5" s="26"/>
      <c r="L5" s="26"/>
      <c r="M5" s="26"/>
      <c r="N5" s="26"/>
      <c r="O5" s="26"/>
      <c r="P5" s="26"/>
      <c r="Q5" s="26"/>
      <c r="R5" s="26" t="s">
        <v>23</v>
      </c>
      <c r="S5" s="26" t="s">
        <v>94</v>
      </c>
      <c r="T5" s="25"/>
      <c r="U5" s="25" t="s">
        <v>18</v>
      </c>
      <c r="V5" s="26"/>
      <c r="W5" s="25"/>
      <c r="X5" s="25"/>
      <c r="Y5" s="25" t="s">
        <v>23</v>
      </c>
    </row>
    <row r="6" spans="1:25" ht="13.2">
      <c r="A6" s="20"/>
      <c r="B6" s="338"/>
      <c r="C6" s="338"/>
      <c r="D6" s="26" t="s">
        <v>100</v>
      </c>
      <c r="E6" s="28" t="s">
        <v>99</v>
      </c>
      <c r="F6" s="26" t="str">
        <f t="shared" si="0"/>
        <v>&lt;vul in&gt;</v>
      </c>
      <c r="G6" s="26"/>
      <c r="H6" s="26"/>
      <c r="I6" s="26" t="str">
        <f t="shared" si="1"/>
        <v>&lt;vul in&gt;</v>
      </c>
      <c r="J6" s="26"/>
      <c r="K6" s="26"/>
      <c r="L6" s="26"/>
      <c r="M6" s="26"/>
      <c r="N6" s="26"/>
      <c r="O6" s="26"/>
      <c r="P6" s="26"/>
      <c r="Q6" s="26"/>
      <c r="R6" s="26" t="s">
        <v>23</v>
      </c>
      <c r="S6" s="26" t="s">
        <v>94</v>
      </c>
      <c r="T6" s="25"/>
      <c r="U6" s="25" t="s">
        <v>18</v>
      </c>
      <c r="V6" s="26"/>
      <c r="W6" s="25"/>
      <c r="X6" s="25"/>
      <c r="Y6" s="25" t="s">
        <v>23</v>
      </c>
    </row>
    <row r="7" spans="1:25" ht="13.2">
      <c r="A7" s="20"/>
      <c r="B7" s="338"/>
      <c r="C7" s="338"/>
      <c r="D7" s="25" t="s">
        <v>101</v>
      </c>
      <c r="E7" s="28" t="s">
        <v>17</v>
      </c>
      <c r="F7" s="26" t="str">
        <f t="shared" si="0"/>
        <v>&lt;vul in&gt;</v>
      </c>
      <c r="G7" s="26"/>
      <c r="H7" s="26"/>
      <c r="I7" s="26" t="str">
        <f t="shared" si="1"/>
        <v>&lt;vul in&gt;</v>
      </c>
      <c r="J7" s="26"/>
      <c r="K7" s="26"/>
      <c r="L7" s="26"/>
      <c r="M7" s="26"/>
      <c r="N7" s="26"/>
      <c r="O7" s="26"/>
      <c r="P7" s="26"/>
      <c r="Q7" s="26"/>
      <c r="R7" s="26" t="s">
        <v>23</v>
      </c>
      <c r="S7" s="26" t="s">
        <v>94</v>
      </c>
      <c r="T7" s="25"/>
      <c r="U7" s="25" t="s">
        <v>95</v>
      </c>
      <c r="V7" s="26"/>
      <c r="W7" s="25"/>
      <c r="X7" s="25"/>
      <c r="Y7" s="25" t="s">
        <v>23</v>
      </c>
    </row>
    <row r="8" spans="1:25" ht="13.2">
      <c r="A8" s="20"/>
      <c r="B8" s="338"/>
      <c r="C8" s="336"/>
      <c r="D8" s="26" t="s">
        <v>102</v>
      </c>
      <c r="E8" s="28" t="s">
        <v>99</v>
      </c>
      <c r="F8" s="26" t="str">
        <f t="shared" si="0"/>
        <v>&lt;vul in&gt;</v>
      </c>
      <c r="G8" s="26"/>
      <c r="H8" s="26"/>
      <c r="I8" s="26" t="str">
        <f t="shared" si="1"/>
        <v>&lt;vul in&gt;</v>
      </c>
      <c r="J8" s="26"/>
      <c r="K8" s="26"/>
      <c r="L8" s="26"/>
      <c r="M8" s="26"/>
      <c r="N8" s="26"/>
      <c r="O8" s="26"/>
      <c r="P8" s="26"/>
      <c r="Q8" s="26"/>
      <c r="R8" s="26" t="s">
        <v>23</v>
      </c>
      <c r="S8" s="26" t="s">
        <v>94</v>
      </c>
      <c r="T8" s="25"/>
      <c r="U8" s="25" t="s">
        <v>18</v>
      </c>
      <c r="V8" s="26"/>
      <c r="W8" s="25"/>
      <c r="X8" s="25"/>
      <c r="Y8" s="25" t="s">
        <v>23</v>
      </c>
    </row>
    <row r="9" spans="1:25" ht="26.4">
      <c r="A9" s="20"/>
      <c r="B9" s="338"/>
      <c r="C9" s="305" t="s">
        <v>103</v>
      </c>
      <c r="D9" s="29" t="s">
        <v>104</v>
      </c>
      <c r="E9" s="28" t="s">
        <v>105</v>
      </c>
      <c r="F9" s="26" t="str">
        <f t="shared" si="0"/>
        <v>-</v>
      </c>
      <c r="G9" s="26"/>
      <c r="H9" s="26"/>
      <c r="I9" s="26" t="str">
        <f t="shared" si="1"/>
        <v>-</v>
      </c>
      <c r="J9" s="26"/>
      <c r="K9" s="26"/>
      <c r="L9" s="26"/>
      <c r="M9" s="26"/>
      <c r="N9" s="26"/>
      <c r="O9" s="26"/>
      <c r="P9" s="26"/>
      <c r="Q9" s="26"/>
      <c r="R9" s="26" t="s">
        <v>23</v>
      </c>
      <c r="S9" s="26" t="s">
        <v>94</v>
      </c>
      <c r="T9" s="25"/>
      <c r="U9" s="25" t="s">
        <v>18</v>
      </c>
      <c r="V9" s="26"/>
      <c r="W9" s="25"/>
      <c r="X9" s="25"/>
      <c r="Y9" s="25" t="s">
        <v>23</v>
      </c>
    </row>
    <row r="10" spans="1:25" ht="13.2">
      <c r="A10" s="20"/>
      <c r="B10" s="338"/>
      <c r="C10" s="338"/>
      <c r="D10" s="26" t="s">
        <v>106</v>
      </c>
      <c r="E10" s="28" t="s">
        <v>17</v>
      </c>
      <c r="F10" s="26"/>
      <c r="G10" s="26"/>
      <c r="H10" s="26"/>
      <c r="I10" s="26"/>
      <c r="J10" s="26"/>
      <c r="K10" s="26"/>
      <c r="L10" s="26"/>
      <c r="M10" s="26"/>
      <c r="N10" s="26"/>
      <c r="O10" s="26"/>
      <c r="P10" s="26"/>
      <c r="Q10" s="26"/>
      <c r="R10" s="26" t="s">
        <v>23</v>
      </c>
      <c r="S10" s="26" t="s">
        <v>94</v>
      </c>
      <c r="T10" s="25"/>
      <c r="U10" s="25"/>
      <c r="V10" s="26"/>
      <c r="W10" s="25"/>
      <c r="X10" s="25"/>
      <c r="Y10" s="25" t="s">
        <v>23</v>
      </c>
    </row>
    <row r="11" spans="1:25" ht="13.2">
      <c r="A11" s="20"/>
      <c r="B11" s="338"/>
      <c r="C11" s="338"/>
      <c r="D11" s="26" t="s">
        <v>107</v>
      </c>
      <c r="E11" s="28" t="s">
        <v>17</v>
      </c>
      <c r="F11" s="26"/>
      <c r="G11" s="26" t="s">
        <v>108</v>
      </c>
      <c r="H11" s="26"/>
      <c r="I11" s="26"/>
      <c r="J11" s="26"/>
      <c r="K11" s="26"/>
      <c r="L11" s="26"/>
      <c r="M11" s="26"/>
      <c r="N11" s="26"/>
      <c r="O11" s="26"/>
      <c r="P11" s="26"/>
      <c r="Q11" s="26"/>
      <c r="R11" s="26" t="s">
        <v>23</v>
      </c>
      <c r="S11" s="26" t="s">
        <v>94</v>
      </c>
      <c r="T11" s="25"/>
      <c r="U11" s="25" t="s">
        <v>95</v>
      </c>
      <c r="V11" s="26"/>
      <c r="W11" s="25"/>
      <c r="X11" s="25"/>
      <c r="Y11" s="25" t="s">
        <v>23</v>
      </c>
    </row>
    <row r="12" spans="1:25" ht="39.6">
      <c r="A12" s="20"/>
      <c r="B12" s="338"/>
      <c r="C12" s="338"/>
      <c r="D12" s="30" t="s">
        <v>109</v>
      </c>
      <c r="E12" s="28" t="s">
        <v>17</v>
      </c>
      <c r="F12" s="26" t="str">
        <f t="shared" ref="F12:F14" si="2">IF(E12="Nee","-","&lt;vul in&gt;")</f>
        <v>&lt;vul in&gt;</v>
      </c>
      <c r="G12" s="26" t="s">
        <v>108</v>
      </c>
      <c r="H12" s="26"/>
      <c r="I12" s="26" t="str">
        <f t="shared" ref="I12:I14" si="3">IF(E12="Nee","-","&lt;vul in&gt;")</f>
        <v>&lt;vul in&gt;</v>
      </c>
      <c r="J12" s="26"/>
      <c r="K12" s="26"/>
      <c r="L12" s="26"/>
      <c r="M12" s="26"/>
      <c r="N12" s="26"/>
      <c r="O12" s="26"/>
      <c r="P12" s="26"/>
      <c r="Q12" s="26"/>
      <c r="R12" s="26" t="s">
        <v>23</v>
      </c>
      <c r="S12" s="26" t="s">
        <v>94</v>
      </c>
      <c r="T12" s="25"/>
      <c r="U12" s="25" t="s">
        <v>95</v>
      </c>
      <c r="V12" s="26"/>
      <c r="W12" s="25"/>
      <c r="X12" s="25"/>
      <c r="Y12" s="25" t="s">
        <v>23</v>
      </c>
    </row>
    <row r="13" spans="1:25" ht="13.2">
      <c r="A13" s="20"/>
      <c r="B13" s="338"/>
      <c r="C13" s="338"/>
      <c r="D13" s="30" t="s">
        <v>110</v>
      </c>
      <c r="E13" s="28" t="s">
        <v>17</v>
      </c>
      <c r="F13" s="26" t="str">
        <f t="shared" si="2"/>
        <v>&lt;vul in&gt;</v>
      </c>
      <c r="G13" s="26"/>
      <c r="H13" s="26"/>
      <c r="I13" s="26" t="str">
        <f t="shared" si="3"/>
        <v>&lt;vul in&gt;</v>
      </c>
      <c r="J13" s="26"/>
      <c r="K13" s="26"/>
      <c r="L13" s="26"/>
      <c r="M13" s="26"/>
      <c r="N13" s="26"/>
      <c r="O13" s="26"/>
      <c r="P13" s="26"/>
      <c r="Q13" s="26"/>
      <c r="R13" s="26" t="s">
        <v>23</v>
      </c>
      <c r="S13" s="26" t="s">
        <v>94</v>
      </c>
      <c r="T13" s="25"/>
      <c r="U13" s="25" t="s">
        <v>95</v>
      </c>
      <c r="V13" s="26"/>
      <c r="W13" s="25"/>
      <c r="X13" s="25"/>
      <c r="Y13" s="25" t="s">
        <v>23</v>
      </c>
    </row>
    <row r="14" spans="1:25" ht="13.2">
      <c r="A14" s="20"/>
      <c r="B14" s="338"/>
      <c r="C14" s="336"/>
      <c r="D14" s="29" t="s">
        <v>111</v>
      </c>
      <c r="E14" s="28" t="s">
        <v>105</v>
      </c>
      <c r="F14" s="86" t="str">
        <f t="shared" si="2"/>
        <v>-</v>
      </c>
      <c r="G14" s="86"/>
      <c r="H14" s="86"/>
      <c r="I14" s="86" t="str">
        <f t="shared" si="3"/>
        <v>-</v>
      </c>
      <c r="J14" s="86"/>
      <c r="K14" s="86"/>
      <c r="L14" s="86"/>
      <c r="M14" s="86"/>
      <c r="N14" s="86"/>
      <c r="O14" s="86"/>
      <c r="P14" s="86"/>
      <c r="Q14" s="86"/>
      <c r="R14" s="26" t="s">
        <v>23</v>
      </c>
      <c r="S14" s="26" t="s">
        <v>94</v>
      </c>
      <c r="T14" s="25"/>
      <c r="U14" s="25" t="s">
        <v>18</v>
      </c>
      <c r="V14" s="26"/>
      <c r="W14" s="25"/>
      <c r="X14" s="25"/>
      <c r="Y14" s="25" t="s">
        <v>23</v>
      </c>
    </row>
    <row r="15" spans="1:25" ht="42.6" customHeight="1">
      <c r="A15" s="20"/>
      <c r="B15" s="338"/>
      <c r="C15" s="305" t="s">
        <v>112</v>
      </c>
      <c r="D15" s="30" t="s">
        <v>86</v>
      </c>
      <c r="E15" s="57" t="s">
        <v>17</v>
      </c>
      <c r="F15" s="151" t="s">
        <v>342</v>
      </c>
      <c r="G15" s="152" t="s">
        <v>343</v>
      </c>
      <c r="H15" s="153" t="s">
        <v>344</v>
      </c>
      <c r="I15" s="60" t="s">
        <v>93</v>
      </c>
      <c r="J15" s="132">
        <v>1</v>
      </c>
      <c r="K15" s="132">
        <v>1</v>
      </c>
      <c r="L15" s="60"/>
      <c r="M15" s="132">
        <v>1</v>
      </c>
      <c r="N15" s="133">
        <v>3</v>
      </c>
      <c r="O15" s="134" t="s">
        <v>114</v>
      </c>
      <c r="P15" s="133">
        <v>3</v>
      </c>
      <c r="Q15" s="135">
        <v>2</v>
      </c>
      <c r="R15" s="58" t="s">
        <v>23</v>
      </c>
      <c r="S15" s="26" t="s">
        <v>94</v>
      </c>
      <c r="T15" s="25"/>
      <c r="U15" s="25" t="s">
        <v>115</v>
      </c>
      <c r="V15" s="26"/>
      <c r="W15" s="25"/>
      <c r="X15" s="25"/>
      <c r="Y15" s="25" t="s">
        <v>17</v>
      </c>
    </row>
    <row r="16" spans="1:25" ht="52.8">
      <c r="A16" s="20"/>
      <c r="B16" s="338"/>
      <c r="C16" s="338"/>
      <c r="D16" s="30" t="s">
        <v>116</v>
      </c>
      <c r="E16" s="57" t="s">
        <v>17</v>
      </c>
      <c r="F16" s="151" t="s">
        <v>117</v>
      </c>
      <c r="G16" s="60" t="s">
        <v>118</v>
      </c>
      <c r="H16" s="151" t="s">
        <v>345</v>
      </c>
      <c r="I16" s="60" t="s">
        <v>93</v>
      </c>
      <c r="J16" s="136"/>
      <c r="K16" s="137"/>
      <c r="L16" s="60"/>
      <c r="M16" s="136"/>
      <c r="N16" s="136"/>
      <c r="O16" s="138"/>
      <c r="P16" s="136"/>
      <c r="Q16" s="136"/>
      <c r="R16" s="58" t="s">
        <v>23</v>
      </c>
      <c r="S16" s="26" t="s">
        <v>94</v>
      </c>
      <c r="T16" s="25"/>
      <c r="U16" s="25" t="s">
        <v>95</v>
      </c>
      <c r="V16" s="26" t="s">
        <v>119</v>
      </c>
      <c r="W16" s="25"/>
      <c r="X16" s="25"/>
      <c r="Y16" s="25" t="s">
        <v>17</v>
      </c>
    </row>
    <row r="17" spans="1:25" ht="52.8">
      <c r="A17" s="20"/>
      <c r="B17" s="338"/>
      <c r="C17" s="336"/>
      <c r="D17" s="30" t="s">
        <v>120</v>
      </c>
      <c r="E17" s="57" t="s">
        <v>17</v>
      </c>
      <c r="F17" s="151" t="s">
        <v>346</v>
      </c>
      <c r="G17" s="60" t="s">
        <v>121</v>
      </c>
      <c r="H17" s="151" t="s">
        <v>347</v>
      </c>
      <c r="I17" s="60" t="s">
        <v>93</v>
      </c>
      <c r="J17" s="132">
        <v>1</v>
      </c>
      <c r="K17" s="139" t="s">
        <v>348</v>
      </c>
      <c r="L17" s="60"/>
      <c r="M17" s="132">
        <v>1</v>
      </c>
      <c r="N17" s="140">
        <v>4</v>
      </c>
      <c r="O17" s="134" t="s">
        <v>114</v>
      </c>
      <c r="P17" s="140">
        <v>4</v>
      </c>
      <c r="Q17" s="135">
        <v>2</v>
      </c>
      <c r="R17" s="58" t="s">
        <v>23</v>
      </c>
      <c r="S17" s="26" t="s">
        <v>94</v>
      </c>
      <c r="T17" s="25"/>
      <c r="U17" s="25" t="s">
        <v>95</v>
      </c>
      <c r="V17" s="26"/>
      <c r="W17" s="25"/>
      <c r="X17" s="25"/>
      <c r="Y17" s="25" t="s">
        <v>17</v>
      </c>
    </row>
    <row r="18" spans="1:25" ht="26.4">
      <c r="A18" s="20"/>
      <c r="B18" s="338"/>
      <c r="C18" s="305" t="s">
        <v>122</v>
      </c>
      <c r="D18" s="27" t="s">
        <v>86</v>
      </c>
      <c r="E18" s="57" t="s">
        <v>17</v>
      </c>
      <c r="F18" s="151" t="s">
        <v>91</v>
      </c>
      <c r="G18" s="152" t="s">
        <v>113</v>
      </c>
      <c r="H18" s="154" t="s">
        <v>113</v>
      </c>
      <c r="I18" s="60" t="s">
        <v>93</v>
      </c>
      <c r="J18" s="136"/>
      <c r="K18" s="137"/>
      <c r="L18" s="60"/>
      <c r="M18" s="136"/>
      <c r="N18" s="136"/>
      <c r="O18" s="138"/>
      <c r="P18" s="136"/>
      <c r="Q18" s="136"/>
      <c r="R18" s="58" t="s">
        <v>23</v>
      </c>
      <c r="S18" s="26" t="s">
        <v>94</v>
      </c>
      <c r="T18" s="25"/>
      <c r="U18" s="25" t="s">
        <v>105</v>
      </c>
      <c r="V18" s="26" t="s">
        <v>96</v>
      </c>
      <c r="W18" s="25"/>
      <c r="X18" s="25"/>
      <c r="Y18" s="25" t="s">
        <v>23</v>
      </c>
    </row>
    <row r="19" spans="1:25" ht="66">
      <c r="A19" s="20"/>
      <c r="B19" s="338"/>
      <c r="C19" s="338"/>
      <c r="D19" s="30" t="s">
        <v>123</v>
      </c>
      <c r="E19" s="57" t="s">
        <v>17</v>
      </c>
      <c r="F19" s="151" t="s">
        <v>349</v>
      </c>
      <c r="G19" s="149" t="s">
        <v>124</v>
      </c>
      <c r="H19" s="131" t="s">
        <v>350</v>
      </c>
      <c r="I19" s="60" t="s">
        <v>93</v>
      </c>
      <c r="J19" s="132">
        <v>1</v>
      </c>
      <c r="K19" s="132">
        <v>1</v>
      </c>
      <c r="L19" s="132">
        <v>1</v>
      </c>
      <c r="M19" s="132">
        <v>1</v>
      </c>
      <c r="N19" s="140">
        <v>4</v>
      </c>
      <c r="O19" s="141" t="s">
        <v>114</v>
      </c>
      <c r="P19" s="142">
        <v>5</v>
      </c>
      <c r="Q19" s="132">
        <v>1</v>
      </c>
      <c r="R19" s="58" t="s">
        <v>23</v>
      </c>
      <c r="S19" s="26" t="s">
        <v>94</v>
      </c>
      <c r="T19" s="25"/>
      <c r="U19" s="25" t="s">
        <v>95</v>
      </c>
      <c r="V19" s="26"/>
      <c r="W19" s="25"/>
      <c r="X19" s="25"/>
      <c r="Y19" s="25" t="s">
        <v>125</v>
      </c>
    </row>
    <row r="20" spans="1:25" ht="37.5" customHeight="1">
      <c r="A20" s="20"/>
      <c r="B20" s="338"/>
      <c r="C20" s="336"/>
      <c r="D20" s="26" t="s">
        <v>126</v>
      </c>
      <c r="E20" s="57" t="s">
        <v>127</v>
      </c>
      <c r="F20" s="151" t="s">
        <v>351</v>
      </c>
      <c r="G20" s="60"/>
      <c r="H20" s="155" t="s">
        <v>124</v>
      </c>
      <c r="I20" s="60" t="s">
        <v>93</v>
      </c>
      <c r="J20" s="132">
        <v>1</v>
      </c>
      <c r="K20" s="132">
        <v>1</v>
      </c>
      <c r="L20" s="132">
        <v>1</v>
      </c>
      <c r="M20" s="132">
        <v>1</v>
      </c>
      <c r="N20" s="140">
        <v>4</v>
      </c>
      <c r="O20" s="143" t="s">
        <v>114</v>
      </c>
      <c r="P20" s="142">
        <v>5</v>
      </c>
      <c r="Q20" s="132">
        <v>1</v>
      </c>
      <c r="R20" s="58" t="s">
        <v>23</v>
      </c>
      <c r="S20" s="26" t="s">
        <v>94</v>
      </c>
      <c r="T20" s="25"/>
      <c r="U20" s="25" t="s">
        <v>105</v>
      </c>
      <c r="V20" s="26"/>
      <c r="W20" s="25"/>
      <c r="X20" s="25"/>
      <c r="Y20" s="25" t="s">
        <v>23</v>
      </c>
    </row>
    <row r="21" spans="1:25" ht="26.4">
      <c r="A21" s="20"/>
      <c r="B21" s="338"/>
      <c r="C21" s="305" t="s">
        <v>128</v>
      </c>
      <c r="D21" s="32" t="s">
        <v>86</v>
      </c>
      <c r="E21" s="57" t="s">
        <v>17</v>
      </c>
      <c r="F21" s="151" t="s">
        <v>91</v>
      </c>
      <c r="G21" s="152" t="s">
        <v>113</v>
      </c>
      <c r="H21" s="154" t="s">
        <v>113</v>
      </c>
      <c r="I21" s="60" t="s">
        <v>93</v>
      </c>
      <c r="J21" s="136"/>
      <c r="K21" s="137"/>
      <c r="L21" s="60"/>
      <c r="M21" s="136"/>
      <c r="N21" s="136"/>
      <c r="O21" s="138"/>
      <c r="P21" s="136"/>
      <c r="Q21" s="136"/>
      <c r="R21" s="58" t="s">
        <v>23</v>
      </c>
      <c r="S21" s="26" t="s">
        <v>94</v>
      </c>
      <c r="T21" s="25"/>
      <c r="U21" s="25" t="s">
        <v>115</v>
      </c>
      <c r="V21" s="26" t="s">
        <v>96</v>
      </c>
      <c r="W21" s="25"/>
      <c r="X21" s="25"/>
      <c r="Y21" s="25" t="s">
        <v>17</v>
      </c>
    </row>
    <row r="22" spans="1:25" ht="52.8">
      <c r="A22" s="20"/>
      <c r="B22" s="338"/>
      <c r="C22" s="338"/>
      <c r="D22" s="30" t="s">
        <v>129</v>
      </c>
      <c r="E22" s="57" t="s">
        <v>17</v>
      </c>
      <c r="F22" s="151" t="s">
        <v>352</v>
      </c>
      <c r="G22" s="60" t="s">
        <v>131</v>
      </c>
      <c r="H22" s="151" t="s">
        <v>131</v>
      </c>
      <c r="I22" s="60" t="s">
        <v>93</v>
      </c>
      <c r="J22" s="132">
        <v>1</v>
      </c>
      <c r="K22" s="132">
        <v>1</v>
      </c>
      <c r="L22" s="132">
        <v>1</v>
      </c>
      <c r="M22" s="132">
        <v>1</v>
      </c>
      <c r="N22" s="140">
        <v>4</v>
      </c>
      <c r="O22" s="141" t="s">
        <v>114</v>
      </c>
      <c r="P22" s="142">
        <v>5</v>
      </c>
      <c r="Q22" s="132">
        <v>1</v>
      </c>
      <c r="R22" s="58" t="s">
        <v>23</v>
      </c>
      <c r="S22" s="26" t="s">
        <v>94</v>
      </c>
      <c r="T22" s="25"/>
      <c r="U22" s="25" t="s">
        <v>95</v>
      </c>
      <c r="V22" s="26"/>
      <c r="W22" s="25"/>
      <c r="X22" s="25"/>
      <c r="Y22" s="25" t="s">
        <v>17</v>
      </c>
    </row>
    <row r="23" spans="1:25" ht="52.8">
      <c r="A23" s="20"/>
      <c r="B23" s="338"/>
      <c r="C23" s="338"/>
      <c r="D23" s="30" t="s">
        <v>132</v>
      </c>
      <c r="E23" s="57" t="s">
        <v>17</v>
      </c>
      <c r="F23" s="151" t="s">
        <v>352</v>
      </c>
      <c r="G23" s="60" t="s">
        <v>131</v>
      </c>
      <c r="H23" s="151" t="s">
        <v>131</v>
      </c>
      <c r="I23" s="60" t="s">
        <v>93</v>
      </c>
      <c r="J23" s="132">
        <v>1</v>
      </c>
      <c r="K23" s="132">
        <v>1</v>
      </c>
      <c r="L23" s="132">
        <v>1</v>
      </c>
      <c r="M23" s="132">
        <v>1</v>
      </c>
      <c r="N23" s="140">
        <v>4</v>
      </c>
      <c r="O23" s="143" t="s">
        <v>114</v>
      </c>
      <c r="P23" s="142">
        <v>5</v>
      </c>
      <c r="Q23" s="132">
        <v>1</v>
      </c>
      <c r="R23" s="58" t="s">
        <v>23</v>
      </c>
      <c r="S23" s="26" t="s">
        <v>94</v>
      </c>
      <c r="T23" s="25"/>
      <c r="U23" s="25" t="s">
        <v>95</v>
      </c>
      <c r="V23" s="26"/>
      <c r="W23" s="25"/>
      <c r="X23" s="25"/>
      <c r="Y23" s="25" t="s">
        <v>23</v>
      </c>
    </row>
    <row r="24" spans="1:25" ht="50.55" customHeight="1">
      <c r="A24" s="20"/>
      <c r="B24" s="338"/>
      <c r="C24" s="336"/>
      <c r="D24" s="30" t="s">
        <v>133</v>
      </c>
      <c r="E24" s="57" t="s">
        <v>17</v>
      </c>
      <c r="F24" s="151" t="s">
        <v>91</v>
      </c>
      <c r="G24" s="152" t="s">
        <v>113</v>
      </c>
      <c r="H24" s="155" t="s">
        <v>353</v>
      </c>
      <c r="I24" s="60" t="s">
        <v>93</v>
      </c>
      <c r="J24" s="132">
        <v>1</v>
      </c>
      <c r="K24" s="132">
        <v>1</v>
      </c>
      <c r="L24" s="132">
        <v>1</v>
      </c>
      <c r="M24" s="140">
        <v>4</v>
      </c>
      <c r="N24" s="132">
        <v>1</v>
      </c>
      <c r="O24" s="141" t="s">
        <v>114</v>
      </c>
      <c r="P24" s="132">
        <v>1</v>
      </c>
      <c r="Q24" s="135">
        <v>2</v>
      </c>
      <c r="R24" s="58" t="s">
        <v>23</v>
      </c>
      <c r="S24" s="26" t="s">
        <v>94</v>
      </c>
      <c r="T24" s="25"/>
      <c r="U24" s="25" t="s">
        <v>95</v>
      </c>
      <c r="V24" s="26" t="s">
        <v>96</v>
      </c>
      <c r="W24" s="25"/>
      <c r="X24" s="25"/>
      <c r="Y24" s="25" t="s">
        <v>17</v>
      </c>
    </row>
    <row r="25" spans="1:25" ht="14.4">
      <c r="A25" s="20"/>
      <c r="B25" s="338"/>
      <c r="C25" s="319" t="s">
        <v>134</v>
      </c>
      <c r="D25" s="30" t="s">
        <v>86</v>
      </c>
      <c r="E25" s="25" t="s">
        <v>17</v>
      </c>
      <c r="F25" s="156" t="s">
        <v>91</v>
      </c>
      <c r="G25" s="157" t="s">
        <v>113</v>
      </c>
      <c r="H25" s="158" t="s">
        <v>113</v>
      </c>
      <c r="I25" s="60" t="s">
        <v>93</v>
      </c>
      <c r="J25" s="145">
        <v>1</v>
      </c>
      <c r="K25" s="145">
        <v>1</v>
      </c>
      <c r="L25" s="145">
        <v>1</v>
      </c>
      <c r="M25" s="145">
        <v>1</v>
      </c>
      <c r="N25" s="146">
        <v>3</v>
      </c>
      <c r="O25" s="147" t="s">
        <v>114</v>
      </c>
      <c r="P25" s="148">
        <v>5</v>
      </c>
      <c r="Q25" s="135">
        <v>2</v>
      </c>
      <c r="R25" s="58"/>
      <c r="S25" s="26"/>
      <c r="T25" s="25"/>
      <c r="U25" s="25" t="s">
        <v>95</v>
      </c>
      <c r="V25" s="26"/>
      <c r="W25" s="25"/>
      <c r="X25" s="25"/>
      <c r="Y25" s="25" t="s">
        <v>17</v>
      </c>
    </row>
    <row r="26" spans="1:25" ht="39.6">
      <c r="A26" s="20"/>
      <c r="B26" s="338"/>
      <c r="C26" s="338"/>
      <c r="D26" s="26" t="s">
        <v>135</v>
      </c>
      <c r="E26" s="25" t="s">
        <v>17</v>
      </c>
      <c r="F26" s="159" t="s">
        <v>354</v>
      </c>
      <c r="G26" s="26" t="s">
        <v>137</v>
      </c>
      <c r="H26" s="113" t="s">
        <v>355</v>
      </c>
      <c r="I26" s="60" t="s">
        <v>93</v>
      </c>
      <c r="J26" s="132">
        <v>1</v>
      </c>
      <c r="K26" s="132">
        <v>1</v>
      </c>
      <c r="L26" s="132">
        <v>1</v>
      </c>
      <c r="M26" s="132">
        <v>1</v>
      </c>
      <c r="N26" s="140">
        <v>4</v>
      </c>
      <c r="O26" s="141" t="s">
        <v>114</v>
      </c>
      <c r="P26" s="142">
        <v>5</v>
      </c>
      <c r="Q26" s="142">
        <v>5</v>
      </c>
      <c r="R26" s="58" t="s">
        <v>38</v>
      </c>
      <c r="S26" s="26" t="s">
        <v>38</v>
      </c>
      <c r="T26" s="25" t="s">
        <v>138</v>
      </c>
      <c r="U26" s="25" t="s">
        <v>23</v>
      </c>
      <c r="V26" s="326" t="s">
        <v>139</v>
      </c>
      <c r="W26" s="25"/>
      <c r="X26" s="25"/>
      <c r="Y26" s="25" t="s">
        <v>23</v>
      </c>
    </row>
    <row r="27" spans="1:25" ht="39.6">
      <c r="A27" s="20"/>
      <c r="B27" s="338"/>
      <c r="C27" s="338"/>
      <c r="D27" s="26" t="s">
        <v>140</v>
      </c>
      <c r="E27" s="25" t="s">
        <v>17</v>
      </c>
      <c r="F27" s="159" t="s">
        <v>356</v>
      </c>
      <c r="G27" s="26" t="s">
        <v>137</v>
      </c>
      <c r="H27" s="113" t="s">
        <v>137</v>
      </c>
      <c r="I27" s="60" t="s">
        <v>93</v>
      </c>
      <c r="J27" s="132">
        <v>1</v>
      </c>
      <c r="K27" s="132">
        <v>1</v>
      </c>
      <c r="L27" s="132">
        <v>1</v>
      </c>
      <c r="M27" s="132">
        <v>1</v>
      </c>
      <c r="N27" s="140">
        <v>4</v>
      </c>
      <c r="O27" s="141" t="s">
        <v>114</v>
      </c>
      <c r="P27" s="142">
        <v>5</v>
      </c>
      <c r="Q27" s="135">
        <v>2</v>
      </c>
      <c r="R27" s="58" t="s">
        <v>38</v>
      </c>
      <c r="S27" s="26" t="s">
        <v>38</v>
      </c>
      <c r="T27" s="25" t="s">
        <v>138</v>
      </c>
      <c r="U27" s="25" t="s">
        <v>95</v>
      </c>
      <c r="V27" s="338"/>
      <c r="W27" s="25"/>
      <c r="X27" s="25"/>
      <c r="Y27" s="25" t="s">
        <v>23</v>
      </c>
    </row>
    <row r="28" spans="1:25" ht="13.2">
      <c r="A28" s="20"/>
      <c r="B28" s="338"/>
      <c r="C28" s="338"/>
      <c r="D28" s="26" t="s">
        <v>142</v>
      </c>
      <c r="E28" s="25" t="s">
        <v>23</v>
      </c>
      <c r="F28" s="159" t="s">
        <v>275</v>
      </c>
      <c r="G28" s="26"/>
      <c r="H28" s="159"/>
      <c r="I28" s="98" t="str">
        <f>IF(E28="Nee","-","&lt;vul in&gt;")</f>
        <v>-</v>
      </c>
      <c r="J28" s="129"/>
      <c r="K28" s="137"/>
      <c r="L28" s="60"/>
      <c r="M28" s="129"/>
      <c r="N28" s="129"/>
      <c r="O28" s="144"/>
      <c r="P28" s="129"/>
      <c r="Q28" s="129"/>
      <c r="R28" s="58" t="s">
        <v>23</v>
      </c>
      <c r="S28" s="26" t="s">
        <v>94</v>
      </c>
      <c r="T28" s="25"/>
      <c r="U28" s="25" t="s">
        <v>23</v>
      </c>
      <c r="V28" s="338"/>
      <c r="W28" s="25"/>
      <c r="X28" s="25"/>
      <c r="Y28" s="25" t="s">
        <v>23</v>
      </c>
    </row>
    <row r="29" spans="1:25" ht="89.55" customHeight="1">
      <c r="A29" s="20"/>
      <c r="B29" s="338"/>
      <c r="C29" s="338"/>
      <c r="D29" s="26" t="s">
        <v>143</v>
      </c>
      <c r="E29" s="25" t="s">
        <v>17</v>
      </c>
      <c r="F29" s="159" t="s">
        <v>349</v>
      </c>
      <c r="G29" s="26" t="s">
        <v>137</v>
      </c>
      <c r="H29" s="113" t="s">
        <v>357</v>
      </c>
      <c r="I29" s="60" t="s">
        <v>93</v>
      </c>
      <c r="J29" s="132">
        <v>1</v>
      </c>
      <c r="K29" s="132">
        <v>1</v>
      </c>
      <c r="L29" s="132">
        <v>1</v>
      </c>
      <c r="M29" s="132">
        <v>1</v>
      </c>
      <c r="N29" s="140">
        <v>4</v>
      </c>
      <c r="O29" s="141" t="s">
        <v>114</v>
      </c>
      <c r="P29" s="142">
        <v>5</v>
      </c>
      <c r="Q29" s="142">
        <v>5</v>
      </c>
      <c r="R29" s="58" t="s">
        <v>38</v>
      </c>
      <c r="S29" s="26" t="s">
        <v>38</v>
      </c>
      <c r="T29" s="25" t="s">
        <v>138</v>
      </c>
      <c r="U29" s="25" t="s">
        <v>95</v>
      </c>
      <c r="V29" s="338"/>
      <c r="W29" s="25"/>
      <c r="X29" s="25"/>
      <c r="Y29" s="25" t="s">
        <v>23</v>
      </c>
    </row>
    <row r="30" spans="1:25" ht="39.6">
      <c r="A30" s="20"/>
      <c r="B30" s="338"/>
      <c r="C30" s="336"/>
      <c r="D30" s="26" t="s">
        <v>144</v>
      </c>
      <c r="E30" s="25" t="s">
        <v>17</v>
      </c>
      <c r="F30" s="159" t="s">
        <v>356</v>
      </c>
      <c r="G30" s="26" t="s">
        <v>137</v>
      </c>
      <c r="H30" s="113" t="s">
        <v>137</v>
      </c>
      <c r="I30" s="60" t="s">
        <v>93</v>
      </c>
      <c r="J30" s="132">
        <v>1</v>
      </c>
      <c r="K30" s="132">
        <v>1</v>
      </c>
      <c r="L30" s="132">
        <v>1</v>
      </c>
      <c r="M30" s="132">
        <v>1</v>
      </c>
      <c r="N30" s="140">
        <v>4</v>
      </c>
      <c r="O30" s="141" t="s">
        <v>114</v>
      </c>
      <c r="P30" s="142">
        <v>5</v>
      </c>
      <c r="Q30" s="142">
        <v>5</v>
      </c>
      <c r="R30" s="58" t="s">
        <v>38</v>
      </c>
      <c r="S30" s="26" t="s">
        <v>38</v>
      </c>
      <c r="T30" s="25" t="s">
        <v>138</v>
      </c>
      <c r="U30" s="25" t="s">
        <v>95</v>
      </c>
      <c r="V30" s="336"/>
      <c r="W30" s="25"/>
      <c r="X30" s="25"/>
      <c r="Y30" s="25" t="s">
        <v>23</v>
      </c>
    </row>
    <row r="31" spans="1:25" ht="39.6">
      <c r="A31" s="20"/>
      <c r="B31" s="338"/>
      <c r="C31" s="26" t="s">
        <v>145</v>
      </c>
      <c r="D31" s="26" t="s">
        <v>146</v>
      </c>
      <c r="E31" s="25" t="s">
        <v>17</v>
      </c>
      <c r="F31" s="159" t="s">
        <v>358</v>
      </c>
      <c r="G31" s="26" t="s">
        <v>137</v>
      </c>
      <c r="H31" s="113" t="s">
        <v>137</v>
      </c>
      <c r="I31" s="60" t="s">
        <v>93</v>
      </c>
      <c r="J31" s="132">
        <v>1</v>
      </c>
      <c r="K31" s="132">
        <v>1</v>
      </c>
      <c r="L31" s="132">
        <v>1</v>
      </c>
      <c r="M31" s="132">
        <v>1</v>
      </c>
      <c r="N31" s="140">
        <v>4</v>
      </c>
      <c r="O31" s="141" t="s">
        <v>114</v>
      </c>
      <c r="P31" s="142">
        <v>5</v>
      </c>
      <c r="Q31" s="142">
        <v>5</v>
      </c>
      <c r="R31" s="58" t="s">
        <v>38</v>
      </c>
      <c r="S31" s="26" t="s">
        <v>38</v>
      </c>
      <c r="T31" s="25" t="s">
        <v>138</v>
      </c>
      <c r="U31" s="25" t="s">
        <v>95</v>
      </c>
      <c r="V31" s="26"/>
      <c r="W31" s="25"/>
      <c r="X31" s="25"/>
      <c r="Y31" s="25" t="s">
        <v>23</v>
      </c>
    </row>
    <row r="32" spans="1:25" ht="92.4">
      <c r="A32" s="20"/>
      <c r="B32" s="336"/>
      <c r="C32" s="33" t="s">
        <v>148</v>
      </c>
      <c r="D32" s="30" t="s">
        <v>149</v>
      </c>
      <c r="E32" s="25" t="s">
        <v>23</v>
      </c>
      <c r="F32" s="26" t="str">
        <f t="shared" ref="F32:F40" si="4">IF(E32="Nee","-","&lt;vul in&gt;")</f>
        <v>-</v>
      </c>
      <c r="G32" s="26"/>
      <c r="H32" s="26"/>
      <c r="I32" s="26" t="str">
        <f t="shared" ref="I32:I40" si="5">IF(E32="Nee","-","&lt;vul in&gt;")</f>
        <v>-</v>
      </c>
      <c r="J32" s="116"/>
      <c r="K32" s="116"/>
      <c r="L32" s="116"/>
      <c r="M32" s="116"/>
      <c r="N32" s="116"/>
      <c r="O32" s="116"/>
      <c r="P32" s="116"/>
      <c r="Q32" s="116"/>
      <c r="R32" s="26" t="s">
        <v>23</v>
      </c>
      <c r="S32" s="26" t="s">
        <v>94</v>
      </c>
      <c r="T32" s="25"/>
      <c r="U32" s="25" t="s">
        <v>95</v>
      </c>
      <c r="V32" s="26" t="s">
        <v>150</v>
      </c>
      <c r="W32" s="25" t="s">
        <v>151</v>
      </c>
      <c r="X32" s="25"/>
      <c r="Y32" s="25" t="s">
        <v>23</v>
      </c>
    </row>
    <row r="33" spans="1:25" ht="13.2">
      <c r="A33" s="20"/>
      <c r="B33" s="363" t="s">
        <v>152</v>
      </c>
      <c r="C33" s="34" t="s">
        <v>90</v>
      </c>
      <c r="D33" s="34" t="s">
        <v>86</v>
      </c>
      <c r="E33" s="35" t="s">
        <v>153</v>
      </c>
      <c r="F33" s="26" t="str">
        <f t="shared" si="4"/>
        <v>&lt;vul in&gt;</v>
      </c>
      <c r="G33" s="26"/>
      <c r="H33" s="26"/>
      <c r="I33" s="26" t="str">
        <f t="shared" si="5"/>
        <v>&lt;vul in&gt;</v>
      </c>
      <c r="J33" s="26"/>
      <c r="K33" s="26"/>
      <c r="L33" s="26"/>
      <c r="M33" s="26"/>
      <c r="N33" s="26"/>
      <c r="O33" s="26"/>
      <c r="P33" s="26"/>
      <c r="Q33" s="26"/>
      <c r="R33" s="26"/>
      <c r="S33" s="26"/>
      <c r="T33" s="25"/>
      <c r="U33" s="360" t="s">
        <v>154</v>
      </c>
      <c r="V33" s="26"/>
      <c r="W33" s="25"/>
      <c r="X33" s="25"/>
      <c r="Y33" s="25" t="s">
        <v>23</v>
      </c>
    </row>
    <row r="34" spans="1:25" ht="13.2">
      <c r="A34" s="20"/>
      <c r="B34" s="338"/>
      <c r="C34" s="364" t="s">
        <v>97</v>
      </c>
      <c r="D34" s="29" t="s">
        <v>98</v>
      </c>
      <c r="E34" s="35" t="s">
        <v>99</v>
      </c>
      <c r="F34" s="26" t="str">
        <f t="shared" si="4"/>
        <v>&lt;vul in&gt;</v>
      </c>
      <c r="G34" s="26"/>
      <c r="H34" s="26"/>
      <c r="I34" s="26" t="str">
        <f t="shared" si="5"/>
        <v>&lt;vul in&gt;</v>
      </c>
      <c r="J34" s="26"/>
      <c r="K34" s="26"/>
      <c r="L34" s="26"/>
      <c r="M34" s="26"/>
      <c r="N34" s="26"/>
      <c r="O34" s="26"/>
      <c r="P34" s="26"/>
      <c r="Q34" s="26"/>
      <c r="R34" s="26"/>
      <c r="S34" s="26"/>
      <c r="T34" s="25"/>
      <c r="U34" s="361"/>
      <c r="V34" s="26"/>
      <c r="W34" s="25"/>
      <c r="X34" s="25"/>
      <c r="Y34" s="25" t="s">
        <v>23</v>
      </c>
    </row>
    <row r="35" spans="1:25" ht="13.2">
      <c r="A35" s="20"/>
      <c r="B35" s="338"/>
      <c r="C35" s="338"/>
      <c r="D35" s="29" t="s">
        <v>100</v>
      </c>
      <c r="E35" s="35" t="s">
        <v>99</v>
      </c>
      <c r="F35" s="26" t="str">
        <f t="shared" si="4"/>
        <v>&lt;vul in&gt;</v>
      </c>
      <c r="G35" s="26"/>
      <c r="H35" s="26"/>
      <c r="I35" s="26" t="str">
        <f t="shared" si="5"/>
        <v>&lt;vul in&gt;</v>
      </c>
      <c r="J35" s="26"/>
      <c r="K35" s="26"/>
      <c r="L35" s="26"/>
      <c r="M35" s="26"/>
      <c r="N35" s="26"/>
      <c r="O35" s="26"/>
      <c r="P35" s="26"/>
      <c r="Q35" s="26"/>
      <c r="R35" s="26"/>
      <c r="S35" s="26"/>
      <c r="T35" s="25"/>
      <c r="U35" s="361"/>
      <c r="V35" s="26"/>
      <c r="W35" s="25"/>
      <c r="X35" s="25"/>
      <c r="Y35" s="25" t="s">
        <v>23</v>
      </c>
    </row>
    <row r="36" spans="1:25" ht="52.8">
      <c r="A36" s="20"/>
      <c r="B36" s="338"/>
      <c r="C36" s="338"/>
      <c r="D36" s="36" t="s">
        <v>101</v>
      </c>
      <c r="E36" s="37" t="s">
        <v>155</v>
      </c>
      <c r="F36" s="26" t="str">
        <f t="shared" si="4"/>
        <v>&lt;vul in&gt;</v>
      </c>
      <c r="G36" s="26"/>
      <c r="H36" s="26"/>
      <c r="I36" s="26" t="str">
        <f t="shared" si="5"/>
        <v>&lt;vul in&gt;</v>
      </c>
      <c r="J36" s="26"/>
      <c r="K36" s="26"/>
      <c r="L36" s="26"/>
      <c r="M36" s="26"/>
      <c r="N36" s="26"/>
      <c r="O36" s="26"/>
      <c r="P36" s="26"/>
      <c r="Q36" s="26"/>
      <c r="R36" s="26"/>
      <c r="S36" s="26"/>
      <c r="T36" s="25"/>
      <c r="U36" s="361"/>
      <c r="V36" s="26"/>
      <c r="W36" s="25"/>
      <c r="X36" s="25"/>
      <c r="Y36" s="25" t="s">
        <v>23</v>
      </c>
    </row>
    <row r="37" spans="1:25" ht="13.2">
      <c r="A37" s="20"/>
      <c r="B37" s="338"/>
      <c r="C37" s="336"/>
      <c r="D37" s="29" t="s">
        <v>102</v>
      </c>
      <c r="E37" s="35" t="s">
        <v>99</v>
      </c>
      <c r="F37" s="26" t="str">
        <f t="shared" si="4"/>
        <v>&lt;vul in&gt;</v>
      </c>
      <c r="G37" s="26"/>
      <c r="H37" s="26"/>
      <c r="I37" s="26" t="str">
        <f t="shared" si="5"/>
        <v>&lt;vul in&gt;</v>
      </c>
      <c r="J37" s="26"/>
      <c r="K37" s="26"/>
      <c r="L37" s="26"/>
      <c r="M37" s="26"/>
      <c r="N37" s="26"/>
      <c r="O37" s="26"/>
      <c r="P37" s="26"/>
      <c r="Q37" s="26"/>
      <c r="R37" s="26"/>
      <c r="S37" s="26"/>
      <c r="T37" s="25"/>
      <c r="U37" s="361"/>
      <c r="V37" s="26"/>
      <c r="W37" s="25"/>
      <c r="X37" s="25"/>
      <c r="Y37" s="25" t="s">
        <v>23</v>
      </c>
    </row>
    <row r="38" spans="1:25" ht="26.4">
      <c r="A38" s="20"/>
      <c r="B38" s="338"/>
      <c r="C38" s="364" t="s">
        <v>156</v>
      </c>
      <c r="D38" s="29" t="s">
        <v>104</v>
      </c>
      <c r="E38" s="35" t="s">
        <v>105</v>
      </c>
      <c r="F38" s="26" t="str">
        <f t="shared" si="4"/>
        <v>-</v>
      </c>
      <c r="G38" s="26"/>
      <c r="H38" s="26"/>
      <c r="I38" s="26" t="str">
        <f t="shared" si="5"/>
        <v>-</v>
      </c>
      <c r="J38" s="26"/>
      <c r="K38" s="26"/>
      <c r="L38" s="26"/>
      <c r="M38" s="26"/>
      <c r="N38" s="26"/>
      <c r="O38" s="26"/>
      <c r="P38" s="26"/>
      <c r="Q38" s="26"/>
      <c r="R38" s="26"/>
      <c r="S38" s="26"/>
      <c r="T38" s="25"/>
      <c r="U38" s="361"/>
      <c r="V38" s="26"/>
      <c r="W38" s="25"/>
      <c r="X38" s="25"/>
      <c r="Y38" s="25" t="s">
        <v>23</v>
      </c>
    </row>
    <row r="39" spans="1:25" ht="26.4">
      <c r="A39" s="20"/>
      <c r="B39" s="338"/>
      <c r="C39" s="338"/>
      <c r="D39" s="29" t="s">
        <v>109</v>
      </c>
      <c r="E39" s="35" t="s">
        <v>17</v>
      </c>
      <c r="F39" s="26" t="str">
        <f t="shared" si="4"/>
        <v>&lt;vul in&gt;</v>
      </c>
      <c r="G39" s="26"/>
      <c r="H39" s="26"/>
      <c r="I39" s="26" t="str">
        <f t="shared" si="5"/>
        <v>&lt;vul in&gt;</v>
      </c>
      <c r="J39" s="26"/>
      <c r="K39" s="26"/>
      <c r="L39" s="26"/>
      <c r="M39" s="26"/>
      <c r="N39" s="26"/>
      <c r="O39" s="26"/>
      <c r="P39" s="26"/>
      <c r="Q39" s="26"/>
      <c r="R39" s="26"/>
      <c r="S39" s="26"/>
      <c r="T39" s="25"/>
      <c r="U39" s="361"/>
      <c r="V39" s="26"/>
      <c r="W39" s="25"/>
      <c r="X39" s="25"/>
      <c r="Y39" s="25" t="s">
        <v>23</v>
      </c>
    </row>
    <row r="40" spans="1:25" ht="13.2">
      <c r="A40" s="20"/>
      <c r="B40" s="338"/>
      <c r="C40" s="338"/>
      <c r="D40" s="29" t="s">
        <v>110</v>
      </c>
      <c r="E40" s="35" t="s">
        <v>17</v>
      </c>
      <c r="F40" s="26" t="str">
        <f t="shared" si="4"/>
        <v>&lt;vul in&gt;</v>
      </c>
      <c r="G40" s="26"/>
      <c r="H40" s="26"/>
      <c r="I40" s="26" t="str">
        <f t="shared" si="5"/>
        <v>&lt;vul in&gt;</v>
      </c>
      <c r="J40" s="26"/>
      <c r="K40" s="26"/>
      <c r="L40" s="26"/>
      <c r="M40" s="26"/>
      <c r="N40" s="26"/>
      <c r="O40" s="26"/>
      <c r="P40" s="26"/>
      <c r="Q40" s="26"/>
      <c r="R40" s="26"/>
      <c r="S40" s="26"/>
      <c r="T40" s="25"/>
      <c r="U40" s="361"/>
      <c r="V40" s="26"/>
      <c r="W40" s="25"/>
      <c r="X40" s="25"/>
      <c r="Y40" s="25" t="s">
        <v>23</v>
      </c>
    </row>
    <row r="41" spans="1:25" ht="13.2">
      <c r="A41" s="20"/>
      <c r="B41" s="338"/>
      <c r="C41" s="338"/>
      <c r="D41" s="29" t="s">
        <v>106</v>
      </c>
      <c r="E41" s="35" t="s">
        <v>17</v>
      </c>
      <c r="F41" s="26"/>
      <c r="G41" s="26"/>
      <c r="H41" s="26"/>
      <c r="I41" s="26"/>
      <c r="J41" s="26"/>
      <c r="K41" s="26"/>
      <c r="L41" s="26"/>
      <c r="M41" s="26"/>
      <c r="N41" s="26"/>
      <c r="O41" s="26"/>
      <c r="P41" s="26"/>
      <c r="Q41" s="26"/>
      <c r="R41" s="26"/>
      <c r="S41" s="26"/>
      <c r="T41" s="25"/>
      <c r="U41" s="361"/>
      <c r="V41" s="26"/>
      <c r="W41" s="25"/>
      <c r="X41" s="25"/>
      <c r="Y41" s="25" t="s">
        <v>23</v>
      </c>
    </row>
    <row r="42" spans="1:25" ht="13.2">
      <c r="A42" s="20"/>
      <c r="B42" s="338"/>
      <c r="C42" s="338"/>
      <c r="D42" s="29" t="s">
        <v>107</v>
      </c>
      <c r="E42" s="35" t="s">
        <v>17</v>
      </c>
      <c r="F42" s="26"/>
      <c r="G42" s="26"/>
      <c r="H42" s="26"/>
      <c r="I42" s="26"/>
      <c r="J42" s="26"/>
      <c r="K42" s="26"/>
      <c r="L42" s="26"/>
      <c r="M42" s="26"/>
      <c r="N42" s="26"/>
      <c r="O42" s="26"/>
      <c r="P42" s="26"/>
      <c r="Q42" s="26"/>
      <c r="R42" s="26"/>
      <c r="S42" s="26"/>
      <c r="T42" s="25"/>
      <c r="U42" s="361"/>
      <c r="V42" s="26"/>
      <c r="W42" s="25"/>
      <c r="X42" s="25"/>
      <c r="Y42" s="25" t="s">
        <v>23</v>
      </c>
    </row>
    <row r="43" spans="1:25" ht="13.2">
      <c r="A43" s="20"/>
      <c r="B43" s="338"/>
      <c r="C43" s="336"/>
      <c r="D43" s="29" t="s">
        <v>111</v>
      </c>
      <c r="E43" s="35" t="s">
        <v>105</v>
      </c>
      <c r="F43" s="26" t="str">
        <f>IF(E43="Nee","-","&lt;vul in&gt;")</f>
        <v>-</v>
      </c>
      <c r="G43" s="26"/>
      <c r="H43" s="26"/>
      <c r="I43" s="26" t="str">
        <f>IF(E43="Nee","-","&lt;vul in&gt;")</f>
        <v>-</v>
      </c>
      <c r="J43" s="26"/>
      <c r="K43" s="26"/>
      <c r="L43" s="26"/>
      <c r="M43" s="26"/>
      <c r="N43" s="26"/>
      <c r="O43" s="26"/>
      <c r="P43" s="26"/>
      <c r="Q43" s="26"/>
      <c r="R43" s="26"/>
      <c r="S43" s="26"/>
      <c r="T43" s="25"/>
      <c r="U43" s="361"/>
      <c r="V43" s="26"/>
      <c r="W43" s="25"/>
      <c r="X43" s="25"/>
      <c r="Y43" s="25" t="s">
        <v>23</v>
      </c>
    </row>
    <row r="44" spans="1:25" ht="13.2">
      <c r="A44" s="20"/>
      <c r="B44" s="338"/>
      <c r="C44" s="363" t="s">
        <v>112</v>
      </c>
      <c r="D44" s="29" t="s">
        <v>86</v>
      </c>
      <c r="E44" s="36" t="s">
        <v>23</v>
      </c>
      <c r="F44" s="26"/>
      <c r="G44" s="26"/>
      <c r="H44" s="26"/>
      <c r="I44" s="26"/>
      <c r="J44" s="26"/>
      <c r="K44" s="26"/>
      <c r="L44" s="26"/>
      <c r="M44" s="26"/>
      <c r="N44" s="26"/>
      <c r="O44" s="26"/>
      <c r="P44" s="26"/>
      <c r="Q44" s="26"/>
      <c r="R44" s="26"/>
      <c r="S44" s="26"/>
      <c r="T44" s="25"/>
      <c r="U44" s="361"/>
      <c r="V44" s="26"/>
      <c r="W44" s="25"/>
      <c r="X44" s="25"/>
      <c r="Y44" s="25" t="s">
        <v>23</v>
      </c>
    </row>
    <row r="45" spans="1:25" ht="13.2">
      <c r="A45" s="20"/>
      <c r="B45" s="338"/>
      <c r="C45" s="338"/>
      <c r="D45" s="29" t="s">
        <v>116</v>
      </c>
      <c r="E45" s="36" t="s">
        <v>23</v>
      </c>
      <c r="F45" s="26" t="str">
        <f t="shared" ref="F45:F67" si="6">IF(E45="Nee","-","&lt;vul in&gt;")</f>
        <v>-</v>
      </c>
      <c r="G45" s="26"/>
      <c r="H45" s="26"/>
      <c r="I45" s="26" t="str">
        <f t="shared" ref="I45:I67" si="7">IF(E45="Nee","-","&lt;vul in&gt;")</f>
        <v>-</v>
      </c>
      <c r="J45" s="26"/>
      <c r="K45" s="26"/>
      <c r="L45" s="26"/>
      <c r="M45" s="26"/>
      <c r="N45" s="26"/>
      <c r="O45" s="26"/>
      <c r="P45" s="26"/>
      <c r="Q45" s="26"/>
      <c r="R45" s="26"/>
      <c r="S45" s="26"/>
      <c r="T45" s="25"/>
      <c r="U45" s="361"/>
      <c r="V45" s="26"/>
      <c r="W45" s="25"/>
      <c r="X45" s="25"/>
      <c r="Y45" s="25" t="s">
        <v>23</v>
      </c>
    </row>
    <row r="46" spans="1:25" ht="13.2">
      <c r="A46" s="20"/>
      <c r="B46" s="338"/>
      <c r="C46" s="336"/>
      <c r="D46" s="29" t="s">
        <v>120</v>
      </c>
      <c r="E46" s="36" t="s">
        <v>23</v>
      </c>
      <c r="F46" s="26" t="str">
        <f t="shared" si="6"/>
        <v>-</v>
      </c>
      <c r="G46" s="26"/>
      <c r="H46" s="26"/>
      <c r="I46" s="26" t="str">
        <f t="shared" si="7"/>
        <v>-</v>
      </c>
      <c r="J46" s="26"/>
      <c r="K46" s="26"/>
      <c r="L46" s="26"/>
      <c r="M46" s="26"/>
      <c r="N46" s="26"/>
      <c r="O46" s="26"/>
      <c r="P46" s="26"/>
      <c r="Q46" s="26"/>
      <c r="R46" s="26"/>
      <c r="S46" s="26"/>
      <c r="T46" s="25"/>
      <c r="U46" s="361"/>
      <c r="V46" s="26"/>
      <c r="W46" s="25"/>
      <c r="X46" s="25"/>
      <c r="Y46" s="25" t="s">
        <v>23</v>
      </c>
    </row>
    <row r="47" spans="1:25" ht="13.2">
      <c r="A47" s="20"/>
      <c r="B47" s="338"/>
      <c r="C47" s="364" t="s">
        <v>122</v>
      </c>
      <c r="D47" s="34" t="s">
        <v>86</v>
      </c>
      <c r="E47" s="36" t="s">
        <v>23</v>
      </c>
      <c r="F47" s="26" t="str">
        <f t="shared" si="6"/>
        <v>-</v>
      </c>
      <c r="G47" s="26"/>
      <c r="H47" s="26"/>
      <c r="I47" s="26" t="str">
        <f t="shared" si="7"/>
        <v>-</v>
      </c>
      <c r="J47" s="26"/>
      <c r="K47" s="26"/>
      <c r="L47" s="26"/>
      <c r="M47" s="26"/>
      <c r="N47" s="26"/>
      <c r="O47" s="26"/>
      <c r="P47" s="26"/>
      <c r="Q47" s="26"/>
      <c r="R47" s="26"/>
      <c r="S47" s="26"/>
      <c r="T47" s="25"/>
      <c r="U47" s="361"/>
      <c r="V47" s="26"/>
      <c r="W47" s="25"/>
      <c r="X47" s="25"/>
      <c r="Y47" s="25" t="s">
        <v>23</v>
      </c>
    </row>
    <row r="48" spans="1:25" ht="13.2">
      <c r="A48" s="20"/>
      <c r="B48" s="338"/>
      <c r="C48" s="338"/>
      <c r="D48" s="29" t="s">
        <v>123</v>
      </c>
      <c r="E48" s="36" t="s">
        <v>23</v>
      </c>
      <c r="F48" s="26" t="str">
        <f t="shared" si="6"/>
        <v>-</v>
      </c>
      <c r="G48" s="26"/>
      <c r="H48" s="26"/>
      <c r="I48" s="26" t="str">
        <f t="shared" si="7"/>
        <v>-</v>
      </c>
      <c r="J48" s="26"/>
      <c r="K48" s="26"/>
      <c r="L48" s="26"/>
      <c r="M48" s="26"/>
      <c r="N48" s="26"/>
      <c r="O48" s="26"/>
      <c r="P48" s="26"/>
      <c r="Q48" s="26"/>
      <c r="R48" s="26"/>
      <c r="S48" s="26"/>
      <c r="T48" s="25"/>
      <c r="U48" s="361"/>
      <c r="V48" s="26"/>
      <c r="W48" s="25"/>
      <c r="X48" s="25"/>
      <c r="Y48" s="25" t="s">
        <v>23</v>
      </c>
    </row>
    <row r="49" spans="1:25" ht="13.2">
      <c r="A49" s="20"/>
      <c r="B49" s="338"/>
      <c r="C49" s="336"/>
      <c r="D49" s="29" t="s">
        <v>126</v>
      </c>
      <c r="E49" s="36" t="s">
        <v>23</v>
      </c>
      <c r="F49" s="26" t="str">
        <f t="shared" si="6"/>
        <v>-</v>
      </c>
      <c r="G49" s="26"/>
      <c r="H49" s="26"/>
      <c r="I49" s="26" t="str">
        <f t="shared" si="7"/>
        <v>-</v>
      </c>
      <c r="J49" s="26"/>
      <c r="K49" s="26"/>
      <c r="L49" s="26"/>
      <c r="M49" s="26"/>
      <c r="N49" s="26"/>
      <c r="O49" s="26"/>
      <c r="P49" s="26"/>
      <c r="Q49" s="26"/>
      <c r="R49" s="26"/>
      <c r="S49" s="26"/>
      <c r="T49" s="25"/>
      <c r="U49" s="361"/>
      <c r="V49" s="26"/>
      <c r="W49" s="25"/>
      <c r="X49" s="25"/>
      <c r="Y49" s="25" t="s">
        <v>23</v>
      </c>
    </row>
    <row r="50" spans="1:25" ht="13.2">
      <c r="A50" s="20"/>
      <c r="B50" s="338"/>
      <c r="C50" s="364" t="s">
        <v>128</v>
      </c>
      <c r="D50" s="38" t="s">
        <v>86</v>
      </c>
      <c r="E50" s="36" t="s">
        <v>23</v>
      </c>
      <c r="F50" s="26" t="str">
        <f t="shared" si="6"/>
        <v>-</v>
      </c>
      <c r="G50" s="26"/>
      <c r="H50" s="26"/>
      <c r="I50" s="26" t="str">
        <f t="shared" si="7"/>
        <v>-</v>
      </c>
      <c r="J50" s="26"/>
      <c r="K50" s="26"/>
      <c r="L50" s="26"/>
      <c r="M50" s="26"/>
      <c r="N50" s="26"/>
      <c r="O50" s="26"/>
      <c r="P50" s="26"/>
      <c r="Q50" s="26"/>
      <c r="R50" s="26"/>
      <c r="S50" s="26"/>
      <c r="T50" s="25"/>
      <c r="U50" s="361"/>
      <c r="V50" s="26"/>
      <c r="W50" s="25"/>
      <c r="X50" s="25"/>
      <c r="Y50" s="25" t="s">
        <v>23</v>
      </c>
    </row>
    <row r="51" spans="1:25" ht="13.2">
      <c r="A51" s="20"/>
      <c r="B51" s="338"/>
      <c r="C51" s="338"/>
      <c r="D51" s="29" t="s">
        <v>129</v>
      </c>
      <c r="E51" s="36" t="s">
        <v>23</v>
      </c>
      <c r="F51" s="26" t="str">
        <f t="shared" si="6"/>
        <v>-</v>
      </c>
      <c r="G51" s="26"/>
      <c r="H51" s="26"/>
      <c r="I51" s="26" t="str">
        <f t="shared" si="7"/>
        <v>-</v>
      </c>
      <c r="J51" s="26"/>
      <c r="K51" s="26"/>
      <c r="L51" s="26"/>
      <c r="M51" s="26"/>
      <c r="N51" s="26"/>
      <c r="O51" s="26"/>
      <c r="P51" s="26"/>
      <c r="Q51" s="26"/>
      <c r="R51" s="26"/>
      <c r="S51" s="26"/>
      <c r="T51" s="25"/>
      <c r="U51" s="361"/>
      <c r="V51" s="26"/>
      <c r="W51" s="25"/>
      <c r="X51" s="25"/>
      <c r="Y51" s="25" t="s">
        <v>23</v>
      </c>
    </row>
    <row r="52" spans="1:25" ht="13.2">
      <c r="A52" s="20"/>
      <c r="B52" s="338"/>
      <c r="C52" s="338"/>
      <c r="D52" s="29" t="s">
        <v>132</v>
      </c>
      <c r="E52" s="36" t="s">
        <v>23</v>
      </c>
      <c r="F52" s="26" t="str">
        <f t="shared" si="6"/>
        <v>-</v>
      </c>
      <c r="G52" s="26"/>
      <c r="H52" s="26"/>
      <c r="I52" s="26" t="str">
        <f t="shared" si="7"/>
        <v>-</v>
      </c>
      <c r="J52" s="26"/>
      <c r="K52" s="26"/>
      <c r="L52" s="26"/>
      <c r="M52" s="26"/>
      <c r="N52" s="26"/>
      <c r="O52" s="26"/>
      <c r="P52" s="26"/>
      <c r="Q52" s="26"/>
      <c r="R52" s="26"/>
      <c r="S52" s="26"/>
      <c r="T52" s="25"/>
      <c r="U52" s="361"/>
      <c r="V52" s="26"/>
      <c r="W52" s="25"/>
      <c r="X52" s="25"/>
      <c r="Y52" s="25" t="s">
        <v>23</v>
      </c>
    </row>
    <row r="53" spans="1:25" ht="13.2">
      <c r="A53" s="20"/>
      <c r="B53" s="338"/>
      <c r="C53" s="336"/>
      <c r="D53" s="29" t="s">
        <v>133</v>
      </c>
      <c r="E53" s="36" t="s">
        <v>23</v>
      </c>
      <c r="F53" s="26" t="str">
        <f t="shared" si="6"/>
        <v>-</v>
      </c>
      <c r="G53" s="26"/>
      <c r="H53" s="26"/>
      <c r="I53" s="26" t="str">
        <f t="shared" si="7"/>
        <v>-</v>
      </c>
      <c r="J53" s="26"/>
      <c r="K53" s="26"/>
      <c r="L53" s="26"/>
      <c r="M53" s="26"/>
      <c r="N53" s="26"/>
      <c r="O53" s="26"/>
      <c r="P53" s="26"/>
      <c r="Q53" s="26"/>
      <c r="R53" s="26"/>
      <c r="S53" s="26"/>
      <c r="T53" s="25"/>
      <c r="U53" s="361"/>
      <c r="V53" s="26"/>
      <c r="W53" s="25"/>
      <c r="X53" s="25"/>
      <c r="Y53" s="25" t="s">
        <v>23</v>
      </c>
    </row>
    <row r="54" spans="1:25" ht="13.2">
      <c r="A54" s="20"/>
      <c r="B54" s="338"/>
      <c r="C54" s="363" t="s">
        <v>134</v>
      </c>
      <c r="D54" s="29" t="s">
        <v>135</v>
      </c>
      <c r="E54" s="36" t="s">
        <v>23</v>
      </c>
      <c r="F54" s="26" t="str">
        <f t="shared" si="6"/>
        <v>-</v>
      </c>
      <c r="G54" s="26"/>
      <c r="H54" s="26"/>
      <c r="I54" s="26" t="str">
        <f t="shared" si="7"/>
        <v>-</v>
      </c>
      <c r="J54" s="26"/>
      <c r="K54" s="26"/>
      <c r="L54" s="26"/>
      <c r="M54" s="26"/>
      <c r="N54" s="26"/>
      <c r="O54" s="26"/>
      <c r="P54" s="26"/>
      <c r="Q54" s="26"/>
      <c r="R54" s="26"/>
      <c r="S54" s="26"/>
      <c r="T54" s="25"/>
      <c r="U54" s="361"/>
      <c r="V54" s="26"/>
      <c r="W54" s="25"/>
      <c r="X54" s="25"/>
      <c r="Y54" s="25" t="s">
        <v>23</v>
      </c>
    </row>
    <row r="55" spans="1:25" ht="13.2">
      <c r="A55" s="20"/>
      <c r="B55" s="338"/>
      <c r="C55" s="338"/>
      <c r="D55" s="29" t="s">
        <v>140</v>
      </c>
      <c r="E55" s="36" t="s">
        <v>23</v>
      </c>
      <c r="F55" s="26" t="str">
        <f t="shared" si="6"/>
        <v>-</v>
      </c>
      <c r="G55" s="26"/>
      <c r="H55" s="26"/>
      <c r="I55" s="26" t="str">
        <f t="shared" si="7"/>
        <v>-</v>
      </c>
      <c r="J55" s="26"/>
      <c r="K55" s="26"/>
      <c r="L55" s="26"/>
      <c r="M55" s="26"/>
      <c r="N55" s="26"/>
      <c r="O55" s="26"/>
      <c r="P55" s="26"/>
      <c r="Q55" s="26"/>
      <c r="R55" s="26"/>
      <c r="S55" s="26"/>
      <c r="T55" s="25"/>
      <c r="U55" s="361"/>
      <c r="V55" s="26"/>
      <c r="W55" s="25"/>
      <c r="X55" s="25"/>
      <c r="Y55" s="25" t="s">
        <v>23</v>
      </c>
    </row>
    <row r="56" spans="1:25" ht="13.2">
      <c r="A56" s="20"/>
      <c r="B56" s="338"/>
      <c r="C56" s="338"/>
      <c r="D56" s="29" t="s">
        <v>142</v>
      </c>
      <c r="E56" s="36" t="s">
        <v>23</v>
      </c>
      <c r="F56" s="26" t="str">
        <f t="shared" si="6"/>
        <v>-</v>
      </c>
      <c r="G56" s="26"/>
      <c r="H56" s="26"/>
      <c r="I56" s="26" t="str">
        <f t="shared" si="7"/>
        <v>-</v>
      </c>
      <c r="J56" s="26"/>
      <c r="K56" s="26"/>
      <c r="L56" s="26"/>
      <c r="M56" s="26"/>
      <c r="N56" s="26"/>
      <c r="O56" s="26"/>
      <c r="P56" s="26"/>
      <c r="Q56" s="26"/>
      <c r="R56" s="26"/>
      <c r="S56" s="26"/>
      <c r="T56" s="25"/>
      <c r="U56" s="361"/>
      <c r="V56" s="26"/>
      <c r="W56" s="25"/>
      <c r="X56" s="25"/>
      <c r="Y56" s="25" t="s">
        <v>23</v>
      </c>
    </row>
    <row r="57" spans="1:25" ht="13.2">
      <c r="A57" s="20"/>
      <c r="B57" s="338"/>
      <c r="C57" s="338"/>
      <c r="D57" s="29" t="s">
        <v>143</v>
      </c>
      <c r="E57" s="36" t="s">
        <v>23</v>
      </c>
      <c r="F57" s="26" t="str">
        <f t="shared" si="6"/>
        <v>-</v>
      </c>
      <c r="G57" s="26"/>
      <c r="H57" s="26"/>
      <c r="I57" s="26" t="str">
        <f t="shared" si="7"/>
        <v>-</v>
      </c>
      <c r="J57" s="26"/>
      <c r="K57" s="26"/>
      <c r="L57" s="26"/>
      <c r="M57" s="26"/>
      <c r="N57" s="26"/>
      <c r="O57" s="26"/>
      <c r="P57" s="26"/>
      <c r="Q57" s="26"/>
      <c r="R57" s="26"/>
      <c r="S57" s="26"/>
      <c r="T57" s="25"/>
      <c r="U57" s="361"/>
      <c r="V57" s="26"/>
      <c r="W57" s="25"/>
      <c r="X57" s="25"/>
      <c r="Y57" s="25" t="s">
        <v>23</v>
      </c>
    </row>
    <row r="58" spans="1:25" ht="13.2">
      <c r="A58" s="20"/>
      <c r="B58" s="336"/>
      <c r="C58" s="336"/>
      <c r="D58" s="29" t="s">
        <v>144</v>
      </c>
      <c r="E58" s="36" t="s">
        <v>23</v>
      </c>
      <c r="F58" s="26" t="str">
        <f t="shared" si="6"/>
        <v>-</v>
      </c>
      <c r="G58" s="26"/>
      <c r="H58" s="26"/>
      <c r="I58" s="26" t="str">
        <f t="shared" si="7"/>
        <v>-</v>
      </c>
      <c r="J58" s="26"/>
      <c r="K58" s="26"/>
      <c r="L58" s="26"/>
      <c r="M58" s="26"/>
      <c r="N58" s="26"/>
      <c r="O58" s="26"/>
      <c r="P58" s="26"/>
      <c r="Q58" s="26"/>
      <c r="R58" s="26"/>
      <c r="S58" s="26"/>
      <c r="T58" s="25"/>
      <c r="U58" s="362"/>
      <c r="V58" s="26"/>
      <c r="W58" s="25"/>
      <c r="X58" s="25"/>
      <c r="Y58" s="25" t="s">
        <v>23</v>
      </c>
    </row>
    <row r="59" spans="1:25" ht="13.2">
      <c r="A59" s="20"/>
      <c r="B59" s="319" t="s">
        <v>157</v>
      </c>
      <c r="C59" s="27" t="s">
        <v>90</v>
      </c>
      <c r="D59" s="27" t="s">
        <v>86</v>
      </c>
      <c r="E59" s="28" t="s">
        <v>17</v>
      </c>
      <c r="F59" s="26" t="str">
        <f t="shared" si="6"/>
        <v>&lt;vul in&gt;</v>
      </c>
      <c r="G59" s="26"/>
      <c r="H59" s="26"/>
      <c r="I59" s="26" t="str">
        <f t="shared" si="7"/>
        <v>&lt;vul in&gt;</v>
      </c>
      <c r="J59" s="26"/>
      <c r="K59" s="26"/>
      <c r="L59" s="26"/>
      <c r="M59" s="26"/>
      <c r="N59" s="26"/>
      <c r="O59" s="134"/>
      <c r="P59" s="134"/>
      <c r="Q59" s="26"/>
      <c r="R59" s="26"/>
      <c r="S59" s="26"/>
      <c r="T59" s="25"/>
      <c r="U59" s="25" t="s">
        <v>95</v>
      </c>
      <c r="V59" s="26"/>
      <c r="W59" s="25"/>
      <c r="X59" s="25"/>
      <c r="Y59" s="25" t="s">
        <v>17</v>
      </c>
    </row>
    <row r="60" spans="1:25" ht="13.2">
      <c r="A60" s="20"/>
      <c r="B60" s="338"/>
      <c r="C60" s="305" t="s">
        <v>97</v>
      </c>
      <c r="D60" s="26" t="s">
        <v>98</v>
      </c>
      <c r="E60" s="28" t="s">
        <v>99</v>
      </c>
      <c r="F60" s="26" t="str">
        <f t="shared" si="6"/>
        <v>&lt;vul in&gt;</v>
      </c>
      <c r="G60" s="26"/>
      <c r="H60" s="26"/>
      <c r="I60" s="26" t="str">
        <f t="shared" si="7"/>
        <v>&lt;vul in&gt;</v>
      </c>
      <c r="J60" s="26"/>
      <c r="K60" s="26"/>
      <c r="L60" s="26"/>
      <c r="M60" s="26"/>
      <c r="N60" s="26"/>
      <c r="O60" s="138"/>
      <c r="P60" s="138"/>
      <c r="Q60" s="26"/>
      <c r="R60" s="26"/>
      <c r="S60" s="26"/>
      <c r="T60" s="25"/>
      <c r="U60" s="25" t="s">
        <v>18</v>
      </c>
      <c r="V60" s="26"/>
      <c r="W60" s="25"/>
      <c r="X60" s="25"/>
      <c r="Y60" s="25" t="s">
        <v>23</v>
      </c>
    </row>
    <row r="61" spans="1:25" ht="13.2">
      <c r="A61" s="20"/>
      <c r="B61" s="338"/>
      <c r="C61" s="338"/>
      <c r="D61" s="26" t="s">
        <v>100</v>
      </c>
      <c r="E61" s="28" t="s">
        <v>99</v>
      </c>
      <c r="F61" s="26" t="str">
        <f t="shared" si="6"/>
        <v>&lt;vul in&gt;</v>
      </c>
      <c r="G61" s="26"/>
      <c r="H61" s="26"/>
      <c r="I61" s="26" t="str">
        <f t="shared" si="7"/>
        <v>&lt;vul in&gt;</v>
      </c>
      <c r="J61" s="26"/>
      <c r="K61" s="26"/>
      <c r="L61" s="26"/>
      <c r="M61" s="26"/>
      <c r="N61" s="26"/>
      <c r="O61" s="134"/>
      <c r="P61" s="134"/>
      <c r="Q61" s="26"/>
      <c r="R61" s="26"/>
      <c r="S61" s="26"/>
      <c r="T61" s="25"/>
      <c r="U61" s="25" t="s">
        <v>18</v>
      </c>
      <c r="V61" s="26"/>
      <c r="W61" s="25"/>
      <c r="X61" s="25"/>
      <c r="Y61" s="25" t="s">
        <v>23</v>
      </c>
    </row>
    <row r="62" spans="1:25" ht="13.2">
      <c r="A62" s="20"/>
      <c r="B62" s="338"/>
      <c r="C62" s="338"/>
      <c r="D62" s="25" t="s">
        <v>101</v>
      </c>
      <c r="E62" s="28" t="s">
        <v>99</v>
      </c>
      <c r="F62" s="26" t="str">
        <f t="shared" si="6"/>
        <v>&lt;vul in&gt;</v>
      </c>
      <c r="G62" s="26"/>
      <c r="H62" s="26"/>
      <c r="I62" s="26" t="str">
        <f t="shared" si="7"/>
        <v>&lt;vul in&gt;</v>
      </c>
      <c r="J62" s="26"/>
      <c r="K62" s="26"/>
      <c r="L62" s="26"/>
      <c r="M62" s="26"/>
      <c r="N62" s="26"/>
      <c r="O62" s="138"/>
      <c r="P62" s="138"/>
      <c r="Q62" s="26"/>
      <c r="R62" s="26"/>
      <c r="S62" s="26"/>
      <c r="T62" s="25"/>
      <c r="U62" s="25" t="s">
        <v>18</v>
      </c>
      <c r="V62" s="26"/>
      <c r="W62" s="25"/>
      <c r="X62" s="25"/>
      <c r="Y62" s="25" t="s">
        <v>23</v>
      </c>
    </row>
    <row r="63" spans="1:25" ht="13.2">
      <c r="A63" s="20"/>
      <c r="B63" s="338"/>
      <c r="C63" s="336"/>
      <c r="D63" s="26" t="s">
        <v>102</v>
      </c>
      <c r="E63" s="28" t="s">
        <v>99</v>
      </c>
      <c r="F63" s="26" t="str">
        <f t="shared" si="6"/>
        <v>&lt;vul in&gt;</v>
      </c>
      <c r="G63" s="26"/>
      <c r="H63" s="26"/>
      <c r="I63" s="26" t="str">
        <f t="shared" si="7"/>
        <v>&lt;vul in&gt;</v>
      </c>
      <c r="J63" s="26"/>
      <c r="K63" s="26"/>
      <c r="L63" s="26"/>
      <c r="M63" s="26"/>
      <c r="N63" s="26"/>
      <c r="O63" s="141"/>
      <c r="P63" s="141"/>
      <c r="Q63" s="26"/>
      <c r="R63" s="26"/>
      <c r="S63" s="26"/>
      <c r="T63" s="25"/>
      <c r="U63" s="25" t="s">
        <v>18</v>
      </c>
      <c r="V63" s="26"/>
      <c r="W63" s="25"/>
      <c r="X63" s="25"/>
      <c r="Y63" s="25" t="s">
        <v>23</v>
      </c>
    </row>
    <row r="64" spans="1:25" ht="26.4">
      <c r="A64" s="20"/>
      <c r="B64" s="338"/>
      <c r="C64" s="305" t="s">
        <v>103</v>
      </c>
      <c r="D64" s="26" t="s">
        <v>104</v>
      </c>
      <c r="E64" s="28" t="s">
        <v>125</v>
      </c>
      <c r="F64" s="26" t="str">
        <f t="shared" si="6"/>
        <v>&lt;vul in&gt;</v>
      </c>
      <c r="G64" s="26"/>
      <c r="H64" s="26"/>
      <c r="I64" s="26" t="str">
        <f t="shared" si="7"/>
        <v>&lt;vul in&gt;</v>
      </c>
      <c r="J64" s="26"/>
      <c r="K64" s="26"/>
      <c r="L64" s="26"/>
      <c r="M64" s="26"/>
      <c r="N64" s="26"/>
      <c r="O64" s="143"/>
      <c r="P64" s="143"/>
      <c r="Q64" s="26"/>
      <c r="R64" s="26"/>
      <c r="S64" s="26"/>
      <c r="T64" s="25"/>
      <c r="U64" s="25" t="s">
        <v>95</v>
      </c>
      <c r="V64" s="26"/>
      <c r="W64" s="25"/>
      <c r="X64" s="25"/>
      <c r="Y64" s="25" t="s">
        <v>23</v>
      </c>
    </row>
    <row r="65" spans="1:25" ht="26.4">
      <c r="A65" s="20"/>
      <c r="B65" s="338"/>
      <c r="C65" s="338"/>
      <c r="D65" s="26" t="s">
        <v>109</v>
      </c>
      <c r="E65" s="28" t="s">
        <v>125</v>
      </c>
      <c r="F65" s="26" t="str">
        <f t="shared" si="6"/>
        <v>&lt;vul in&gt;</v>
      </c>
      <c r="G65" s="26"/>
      <c r="H65" s="26"/>
      <c r="I65" s="26" t="str">
        <f t="shared" si="7"/>
        <v>&lt;vul in&gt;</v>
      </c>
      <c r="J65" s="26"/>
      <c r="K65" s="26"/>
      <c r="L65" s="26"/>
      <c r="M65" s="26"/>
      <c r="N65" s="26"/>
      <c r="O65" s="138"/>
      <c r="P65" s="138"/>
      <c r="Q65" s="26"/>
      <c r="R65" s="26"/>
      <c r="S65" s="26"/>
      <c r="T65" s="25"/>
      <c r="U65" s="25" t="s">
        <v>95</v>
      </c>
      <c r="V65" s="26"/>
      <c r="W65" s="25"/>
      <c r="X65" s="25"/>
      <c r="Y65" s="25" t="s">
        <v>23</v>
      </c>
    </row>
    <row r="66" spans="1:25" ht="13.2">
      <c r="A66" s="20"/>
      <c r="B66" s="338"/>
      <c r="C66" s="338"/>
      <c r="D66" s="26" t="s">
        <v>110</v>
      </c>
      <c r="E66" s="28" t="s">
        <v>125</v>
      </c>
      <c r="F66" s="26" t="str">
        <f t="shared" si="6"/>
        <v>&lt;vul in&gt;</v>
      </c>
      <c r="G66" s="26"/>
      <c r="H66" s="26"/>
      <c r="I66" s="26" t="str">
        <f t="shared" si="7"/>
        <v>&lt;vul in&gt;</v>
      </c>
      <c r="J66" s="26"/>
      <c r="K66" s="26"/>
      <c r="L66" s="26"/>
      <c r="M66" s="26"/>
      <c r="N66" s="26"/>
      <c r="O66" s="141"/>
      <c r="P66" s="141"/>
      <c r="Q66" s="26"/>
      <c r="R66" s="26"/>
      <c r="S66" s="26"/>
      <c r="T66" s="25"/>
      <c r="U66" s="25" t="s">
        <v>95</v>
      </c>
      <c r="V66" s="26"/>
      <c r="W66" s="25"/>
      <c r="X66" s="25"/>
      <c r="Y66" s="25" t="s">
        <v>23</v>
      </c>
    </row>
    <row r="67" spans="1:25" ht="13.2">
      <c r="A67" s="20"/>
      <c r="B67" s="338"/>
      <c r="C67" s="336"/>
      <c r="D67" s="26" t="s">
        <v>111</v>
      </c>
      <c r="E67" s="28" t="s">
        <v>125</v>
      </c>
      <c r="F67" s="26" t="str">
        <f t="shared" si="6"/>
        <v>&lt;vul in&gt;</v>
      </c>
      <c r="G67" s="26"/>
      <c r="H67" s="26"/>
      <c r="I67" s="26" t="str">
        <f t="shared" si="7"/>
        <v>&lt;vul in&gt;</v>
      </c>
      <c r="J67" s="86"/>
      <c r="K67" s="86"/>
      <c r="L67" s="26"/>
      <c r="M67" s="26"/>
      <c r="N67" s="26"/>
      <c r="O67" s="143"/>
      <c r="P67" s="143"/>
      <c r="Q67" s="26"/>
      <c r="R67" s="26"/>
      <c r="S67" s="26"/>
      <c r="T67" s="25"/>
      <c r="U67" s="25" t="s">
        <v>18</v>
      </c>
      <c r="V67" s="26"/>
      <c r="W67" s="25"/>
      <c r="X67" s="25"/>
      <c r="Y67" s="25" t="s">
        <v>23</v>
      </c>
    </row>
    <row r="68" spans="1:25" ht="52.8">
      <c r="A68" s="20"/>
      <c r="B68" s="338"/>
      <c r="C68" s="319" t="s">
        <v>112</v>
      </c>
      <c r="D68" s="26" t="s">
        <v>86</v>
      </c>
      <c r="E68" s="25"/>
      <c r="F68" s="130" t="s">
        <v>359</v>
      </c>
      <c r="G68" s="26"/>
      <c r="H68" s="150" t="s">
        <v>360</v>
      </c>
      <c r="I68" s="98"/>
      <c r="J68" s="166">
        <v>1</v>
      </c>
      <c r="K68" s="135">
        <v>2</v>
      </c>
      <c r="L68" s="161">
        <v>1</v>
      </c>
      <c r="M68" s="127"/>
      <c r="N68" s="160">
        <v>1</v>
      </c>
      <c r="O68" s="160">
        <v>1</v>
      </c>
      <c r="P68" s="141" t="s">
        <v>114</v>
      </c>
      <c r="Q68" s="124">
        <v>2</v>
      </c>
      <c r="R68" s="26"/>
      <c r="S68" s="26"/>
      <c r="T68" s="25"/>
      <c r="U68" s="25" t="s">
        <v>115</v>
      </c>
      <c r="V68" s="26"/>
      <c r="W68" s="25"/>
      <c r="X68" s="25"/>
      <c r="Y68" s="25" t="s">
        <v>17</v>
      </c>
    </row>
    <row r="69" spans="1:25" ht="52.8">
      <c r="A69" s="20"/>
      <c r="B69" s="338"/>
      <c r="C69" s="338"/>
      <c r="D69" s="26" t="s">
        <v>116</v>
      </c>
      <c r="E69" s="25" t="s">
        <v>23</v>
      </c>
      <c r="F69" s="130">
        <v>2023</v>
      </c>
      <c r="G69" s="26"/>
      <c r="H69" s="131" t="s">
        <v>159</v>
      </c>
      <c r="I69" s="98" t="str">
        <f t="shared" ref="I69:I74" si="8">IF(E69="Nee","-","&lt;vul in&gt;")</f>
        <v>-</v>
      </c>
      <c r="J69" s="166">
        <v>1</v>
      </c>
      <c r="K69" s="133">
        <v>3</v>
      </c>
      <c r="L69" s="162">
        <v>5</v>
      </c>
      <c r="M69" s="128"/>
      <c r="N69" s="160">
        <v>1</v>
      </c>
      <c r="O69" s="160">
        <v>1</v>
      </c>
      <c r="P69" s="147" t="s">
        <v>114</v>
      </c>
      <c r="Q69" s="123">
        <v>3</v>
      </c>
      <c r="R69" s="26"/>
      <c r="S69" s="26"/>
      <c r="T69" s="25"/>
      <c r="U69" s="25" t="s">
        <v>95</v>
      </c>
      <c r="V69" s="26"/>
      <c r="W69" s="25"/>
      <c r="X69" s="25"/>
      <c r="Y69" s="25" t="s">
        <v>23</v>
      </c>
    </row>
    <row r="70" spans="1:25" ht="39.6">
      <c r="A70" s="20"/>
      <c r="B70" s="338"/>
      <c r="C70" s="336"/>
      <c r="D70" s="26" t="s">
        <v>120</v>
      </c>
      <c r="E70" s="25" t="s">
        <v>17</v>
      </c>
      <c r="F70" s="130" t="s">
        <v>361</v>
      </c>
      <c r="G70" s="26"/>
      <c r="H70" s="150" t="s">
        <v>160</v>
      </c>
      <c r="I70" s="98" t="str">
        <f t="shared" si="8"/>
        <v>&lt;vul in&gt;</v>
      </c>
      <c r="J70" s="166">
        <v>1</v>
      </c>
      <c r="K70" s="166">
        <v>1</v>
      </c>
      <c r="L70" s="163">
        <v>4</v>
      </c>
      <c r="M70" s="127"/>
      <c r="N70" s="160">
        <v>1</v>
      </c>
      <c r="O70" s="160">
        <v>1</v>
      </c>
      <c r="P70" s="141" t="s">
        <v>114</v>
      </c>
      <c r="Q70" s="160">
        <v>1</v>
      </c>
      <c r="R70" s="26"/>
      <c r="S70" s="26"/>
      <c r="T70" s="25"/>
      <c r="U70" s="25" t="s">
        <v>95</v>
      </c>
      <c r="V70" s="26"/>
      <c r="W70" s="25"/>
      <c r="X70" s="25"/>
      <c r="Y70" s="25" t="s">
        <v>23</v>
      </c>
    </row>
    <row r="71" spans="1:25" ht="13.2">
      <c r="A71" s="20"/>
      <c r="B71" s="338"/>
      <c r="C71" s="305" t="s">
        <v>122</v>
      </c>
      <c r="D71" s="27" t="s">
        <v>86</v>
      </c>
      <c r="E71" s="25" t="s">
        <v>23</v>
      </c>
      <c r="F71" s="130">
        <v>2024</v>
      </c>
      <c r="G71" s="26"/>
      <c r="H71" s="150" t="s">
        <v>161</v>
      </c>
      <c r="I71" s="98" t="str">
        <f t="shared" si="8"/>
        <v>-</v>
      </c>
      <c r="J71" s="136"/>
      <c r="K71" s="136"/>
      <c r="L71" s="164"/>
      <c r="M71" s="26"/>
      <c r="N71" s="125"/>
      <c r="O71" s="125"/>
      <c r="P71" s="141" t="s">
        <v>114</v>
      </c>
      <c r="Q71" s="125"/>
      <c r="R71" s="26"/>
      <c r="S71" s="26"/>
      <c r="T71" s="25"/>
      <c r="U71" s="25" t="s">
        <v>18</v>
      </c>
      <c r="V71" s="26"/>
      <c r="W71" s="25"/>
      <c r="X71" s="25"/>
      <c r="Y71" s="25" t="s">
        <v>23</v>
      </c>
    </row>
    <row r="72" spans="1:25" ht="105.6">
      <c r="A72" s="20"/>
      <c r="B72" s="338"/>
      <c r="C72" s="338"/>
      <c r="D72" s="26" t="s">
        <v>123</v>
      </c>
      <c r="E72" s="25" t="s">
        <v>23</v>
      </c>
      <c r="F72" s="130">
        <v>2023</v>
      </c>
      <c r="G72" s="26"/>
      <c r="H72" s="155" t="s">
        <v>162</v>
      </c>
      <c r="I72" s="98" t="str">
        <f t="shared" si="8"/>
        <v>-</v>
      </c>
      <c r="J72" s="133">
        <v>3</v>
      </c>
      <c r="K72" s="140">
        <v>4</v>
      </c>
      <c r="L72" s="163">
        <v>4</v>
      </c>
      <c r="M72" s="26"/>
      <c r="N72" s="123">
        <v>3</v>
      </c>
      <c r="O72" s="126">
        <v>4</v>
      </c>
      <c r="P72" s="144"/>
      <c r="Q72" s="126">
        <v>4</v>
      </c>
      <c r="R72" s="26"/>
      <c r="S72" s="26"/>
      <c r="T72" s="25"/>
      <c r="U72" s="25" t="s">
        <v>95</v>
      </c>
      <c r="V72" s="26"/>
      <c r="W72" s="25"/>
      <c r="X72" s="25"/>
      <c r="Y72" s="25" t="s">
        <v>23</v>
      </c>
    </row>
    <row r="73" spans="1:25" ht="13.2">
      <c r="A73" s="20"/>
      <c r="B73" s="338"/>
      <c r="C73" s="336"/>
      <c r="D73" s="26" t="s">
        <v>126</v>
      </c>
      <c r="E73" s="25" t="s">
        <v>23</v>
      </c>
      <c r="F73" s="130">
        <v>2024</v>
      </c>
      <c r="G73" s="26"/>
      <c r="H73" s="170" t="s">
        <v>163</v>
      </c>
      <c r="I73" s="98" t="str">
        <f t="shared" si="8"/>
        <v>-</v>
      </c>
      <c r="J73" s="166">
        <v>1</v>
      </c>
      <c r="K73" s="166">
        <v>1</v>
      </c>
      <c r="L73" s="163">
        <v>4</v>
      </c>
      <c r="M73" s="26"/>
      <c r="N73" s="160">
        <v>1</v>
      </c>
      <c r="O73" s="160">
        <v>1</v>
      </c>
      <c r="P73" s="141" t="s">
        <v>114</v>
      </c>
      <c r="Q73" s="126">
        <v>4</v>
      </c>
      <c r="R73" s="26"/>
      <c r="S73" s="26"/>
      <c r="T73" s="25"/>
      <c r="U73" s="25" t="s">
        <v>18</v>
      </c>
      <c r="V73" s="26"/>
      <c r="W73" s="25"/>
      <c r="X73" s="25"/>
      <c r="Y73" s="25" t="s">
        <v>23</v>
      </c>
    </row>
    <row r="74" spans="1:25" ht="39.6">
      <c r="A74" s="20"/>
      <c r="B74" s="338"/>
      <c r="C74" s="305" t="s">
        <v>128</v>
      </c>
      <c r="D74" s="39" t="s">
        <v>86</v>
      </c>
      <c r="E74" s="25" t="s">
        <v>23</v>
      </c>
      <c r="F74" s="129">
        <v>2025</v>
      </c>
      <c r="G74" s="26"/>
      <c r="H74" s="155" t="s">
        <v>164</v>
      </c>
      <c r="I74" s="98" t="str">
        <f t="shared" si="8"/>
        <v>-</v>
      </c>
      <c r="J74" s="140">
        <v>4</v>
      </c>
      <c r="K74" s="133">
        <v>3</v>
      </c>
      <c r="L74" s="161">
        <v>1</v>
      </c>
      <c r="M74" s="26"/>
      <c r="N74" s="160">
        <v>1</v>
      </c>
      <c r="O74" s="126">
        <v>4</v>
      </c>
      <c r="P74" s="141" t="s">
        <v>114</v>
      </c>
      <c r="Q74" s="124">
        <v>2</v>
      </c>
      <c r="R74" s="26"/>
      <c r="S74" s="26"/>
      <c r="T74" s="25"/>
      <c r="U74" s="25" t="s">
        <v>95</v>
      </c>
      <c r="V74" s="26"/>
      <c r="W74" s="25"/>
      <c r="X74" s="25"/>
      <c r="Y74" s="25" t="s">
        <v>23</v>
      </c>
    </row>
    <row r="75" spans="1:25" ht="66">
      <c r="A75" s="20"/>
      <c r="B75" s="338"/>
      <c r="C75" s="338"/>
      <c r="D75" s="26" t="s">
        <v>129</v>
      </c>
      <c r="E75" s="25" t="s">
        <v>17</v>
      </c>
      <c r="F75" s="129" t="s">
        <v>362</v>
      </c>
      <c r="G75" s="31" t="s">
        <v>363</v>
      </c>
      <c r="H75" s="155" t="s">
        <v>165</v>
      </c>
      <c r="I75" s="98" t="s">
        <v>93</v>
      </c>
      <c r="J75" s="135">
        <v>2</v>
      </c>
      <c r="K75" s="133">
        <v>3</v>
      </c>
      <c r="L75" s="161">
        <v>1</v>
      </c>
      <c r="M75" s="26"/>
      <c r="N75" s="160">
        <v>1</v>
      </c>
      <c r="O75" s="160">
        <v>1</v>
      </c>
      <c r="P75" s="141" t="s">
        <v>114</v>
      </c>
      <c r="Q75" s="124">
        <v>2</v>
      </c>
      <c r="R75" s="26"/>
      <c r="S75" s="26"/>
      <c r="T75" s="25"/>
      <c r="U75" s="25" t="s">
        <v>95</v>
      </c>
      <c r="V75" s="26"/>
      <c r="W75" s="25"/>
      <c r="X75" s="25"/>
      <c r="Y75" s="25" t="s">
        <v>17</v>
      </c>
    </row>
    <row r="76" spans="1:25" ht="39.6">
      <c r="A76" s="20"/>
      <c r="B76" s="338"/>
      <c r="C76" s="338"/>
      <c r="D76" s="26" t="s">
        <v>132</v>
      </c>
      <c r="E76" s="25" t="s">
        <v>125</v>
      </c>
      <c r="F76" s="130" t="s">
        <v>364</v>
      </c>
      <c r="G76" s="173" t="s">
        <v>365</v>
      </c>
      <c r="H76" s="155" t="s">
        <v>166</v>
      </c>
      <c r="I76" s="98" t="s">
        <v>93</v>
      </c>
      <c r="J76" s="167"/>
      <c r="K76" s="167"/>
      <c r="L76" s="165"/>
      <c r="M76" s="26"/>
      <c r="N76" s="26"/>
      <c r="O76" s="26"/>
      <c r="P76" s="26"/>
      <c r="Q76" s="26"/>
      <c r="R76" s="26"/>
      <c r="S76" s="26"/>
      <c r="T76" s="25"/>
      <c r="U76" s="25" t="s">
        <v>95</v>
      </c>
      <c r="V76" s="26"/>
      <c r="W76" s="25"/>
      <c r="X76" s="25"/>
      <c r="Y76" s="25" t="s">
        <v>23</v>
      </c>
    </row>
    <row r="77" spans="1:25" ht="13.2">
      <c r="A77" s="20"/>
      <c r="B77" s="338"/>
      <c r="C77" s="336"/>
      <c r="D77" s="26" t="s">
        <v>133</v>
      </c>
      <c r="E77" s="25" t="s">
        <v>23</v>
      </c>
      <c r="F77" s="151" t="s">
        <v>114</v>
      </c>
      <c r="G77" s="26"/>
      <c r="H77" s="155" t="s">
        <v>167</v>
      </c>
      <c r="I77" s="98" t="str">
        <f>IF(E77="Nee","-","&lt;vul in&gt;")</f>
        <v>-</v>
      </c>
      <c r="J77" s="167"/>
      <c r="K77" s="167"/>
      <c r="L77" s="165"/>
      <c r="M77" s="26"/>
      <c r="N77" s="26"/>
      <c r="O77" s="26"/>
      <c r="P77" s="26"/>
      <c r="Q77" s="26"/>
      <c r="R77" s="26"/>
      <c r="S77" s="26"/>
      <c r="T77" s="25"/>
      <c r="U77" s="25" t="s">
        <v>95</v>
      </c>
      <c r="V77" s="26"/>
      <c r="W77" s="25"/>
      <c r="X77" s="25"/>
      <c r="Y77" s="25" t="s">
        <v>23</v>
      </c>
    </row>
    <row r="78" spans="1:25" ht="26.4">
      <c r="A78" s="20"/>
      <c r="B78" s="338"/>
      <c r="C78" s="319" t="s">
        <v>134</v>
      </c>
      <c r="D78" s="26" t="s">
        <v>86</v>
      </c>
      <c r="E78" s="25" t="s">
        <v>17</v>
      </c>
      <c r="F78" s="130">
        <v>2024</v>
      </c>
      <c r="G78" s="26"/>
      <c r="H78" s="155" t="s">
        <v>168</v>
      </c>
      <c r="I78" s="98"/>
      <c r="J78" s="167"/>
      <c r="K78" s="167"/>
      <c r="L78" s="165"/>
      <c r="M78" s="26"/>
      <c r="N78" s="26"/>
      <c r="O78" s="26"/>
      <c r="P78" s="26"/>
      <c r="Q78" s="26"/>
      <c r="R78" s="26"/>
      <c r="S78" s="26"/>
      <c r="T78" s="25"/>
      <c r="U78" s="25" t="s">
        <v>95</v>
      </c>
      <c r="V78" s="26"/>
      <c r="W78" s="25"/>
      <c r="X78" s="25"/>
      <c r="Y78" s="25" t="s">
        <v>17</v>
      </c>
    </row>
    <row r="79" spans="1:25" ht="13.2">
      <c r="A79" s="20"/>
      <c r="B79" s="338"/>
      <c r="C79" s="338"/>
      <c r="D79" s="26" t="s">
        <v>135</v>
      </c>
      <c r="E79" s="25" t="s">
        <v>23</v>
      </c>
      <c r="F79" s="129">
        <v>2024</v>
      </c>
      <c r="G79" s="26"/>
      <c r="H79" s="170" t="s">
        <v>163</v>
      </c>
      <c r="I79" s="98" t="str">
        <f t="shared" ref="I79:I92" si="9">IF(E79="Nee","-","&lt;vul in&gt;")</f>
        <v>-</v>
      </c>
      <c r="J79" s="167"/>
      <c r="K79" s="167"/>
      <c r="L79" s="165"/>
      <c r="M79" s="26"/>
      <c r="N79" s="26"/>
      <c r="O79" s="26"/>
      <c r="P79" s="26"/>
      <c r="Q79" s="26"/>
      <c r="R79" s="26"/>
      <c r="S79" s="26"/>
      <c r="T79" s="25"/>
      <c r="U79" s="25"/>
      <c r="V79" s="26"/>
      <c r="W79" s="25"/>
      <c r="X79" s="25"/>
      <c r="Y79" s="25" t="s">
        <v>23</v>
      </c>
    </row>
    <row r="80" spans="1:25" ht="13.2">
      <c r="A80" s="20"/>
      <c r="B80" s="338"/>
      <c r="C80" s="338"/>
      <c r="D80" s="26" t="s">
        <v>140</v>
      </c>
      <c r="E80" s="25" t="s">
        <v>23</v>
      </c>
      <c r="F80" s="129" t="s">
        <v>366</v>
      </c>
      <c r="G80" s="26"/>
      <c r="H80" s="170" t="s">
        <v>163</v>
      </c>
      <c r="I80" s="98" t="str">
        <f t="shared" si="9"/>
        <v>-</v>
      </c>
      <c r="J80" s="167"/>
      <c r="K80" s="167"/>
      <c r="L80" s="165"/>
      <c r="M80" s="26"/>
      <c r="N80" s="26"/>
      <c r="O80" s="26"/>
      <c r="P80" s="26"/>
      <c r="Q80" s="26"/>
      <c r="R80" s="26"/>
      <c r="S80" s="26"/>
      <c r="T80" s="25"/>
      <c r="U80" s="25"/>
      <c r="V80" s="26"/>
      <c r="W80" s="25"/>
      <c r="X80" s="25"/>
      <c r="Y80" s="25" t="s">
        <v>23</v>
      </c>
    </row>
    <row r="81" spans="1:25" ht="13.2">
      <c r="A81" s="20"/>
      <c r="B81" s="338"/>
      <c r="C81" s="338"/>
      <c r="D81" s="26" t="s">
        <v>142</v>
      </c>
      <c r="E81" s="25" t="s">
        <v>23</v>
      </c>
      <c r="F81" s="171" t="s">
        <v>275</v>
      </c>
      <c r="G81" s="26"/>
      <c r="H81" s="151"/>
      <c r="I81" s="98" t="str">
        <f t="shared" si="9"/>
        <v>-</v>
      </c>
      <c r="J81" s="168"/>
      <c r="K81" s="169"/>
      <c r="L81" s="165"/>
      <c r="M81" s="26"/>
      <c r="N81" s="26"/>
      <c r="O81" s="26"/>
      <c r="P81" s="26"/>
      <c r="Q81" s="26"/>
      <c r="R81" s="26"/>
      <c r="S81" s="26"/>
      <c r="T81" s="25"/>
      <c r="U81" s="25"/>
      <c r="V81" s="26"/>
      <c r="W81" s="25"/>
      <c r="X81" s="25"/>
      <c r="Y81" s="25" t="s">
        <v>23</v>
      </c>
    </row>
    <row r="82" spans="1:25" ht="26.4">
      <c r="A82" s="20"/>
      <c r="B82" s="338"/>
      <c r="C82" s="338"/>
      <c r="D82" s="26" t="s">
        <v>143</v>
      </c>
      <c r="E82" s="25" t="s">
        <v>23</v>
      </c>
      <c r="F82" s="172" t="s">
        <v>367</v>
      </c>
      <c r="G82" s="26"/>
      <c r="H82" s="155" t="s">
        <v>169</v>
      </c>
      <c r="I82" s="98" t="str">
        <f t="shared" si="9"/>
        <v>-</v>
      </c>
      <c r="J82" s="167"/>
      <c r="K82" s="167"/>
      <c r="L82" s="165"/>
      <c r="M82" s="26"/>
      <c r="N82" s="26"/>
      <c r="O82" s="26"/>
      <c r="P82" s="26"/>
      <c r="Q82" s="26"/>
      <c r="R82" s="26"/>
      <c r="S82" s="26"/>
      <c r="T82" s="25"/>
      <c r="U82" s="25"/>
      <c r="V82" s="26"/>
      <c r="W82" s="25"/>
      <c r="X82" s="25"/>
      <c r="Y82" s="25" t="s">
        <v>23</v>
      </c>
    </row>
    <row r="83" spans="1:25" ht="13.2">
      <c r="A83" s="20"/>
      <c r="B83" s="336"/>
      <c r="C83" s="336"/>
      <c r="D83" s="26" t="s">
        <v>144</v>
      </c>
      <c r="E83" s="25" t="s">
        <v>23</v>
      </c>
      <c r="F83" s="171">
        <v>2024</v>
      </c>
      <c r="G83" s="26"/>
      <c r="H83" s="170" t="s">
        <v>163</v>
      </c>
      <c r="I83" s="98" t="str">
        <f t="shared" si="9"/>
        <v>-</v>
      </c>
      <c r="J83" s="167"/>
      <c r="K83" s="167"/>
      <c r="L83" s="165"/>
      <c r="M83" s="26"/>
      <c r="N83" s="26"/>
      <c r="O83" s="26"/>
      <c r="P83" s="26"/>
      <c r="Q83" s="26"/>
      <c r="R83" s="26"/>
      <c r="S83" s="26"/>
      <c r="T83" s="25"/>
      <c r="U83" s="25"/>
      <c r="V83" s="26"/>
      <c r="W83" s="25"/>
      <c r="X83" s="25"/>
      <c r="Y83" s="25" t="s">
        <v>23</v>
      </c>
    </row>
    <row r="84" spans="1:25" ht="26.4">
      <c r="A84" s="20"/>
      <c r="B84" s="368" t="s">
        <v>170</v>
      </c>
      <c r="C84" s="26" t="s">
        <v>90</v>
      </c>
      <c r="D84" s="26" t="s">
        <v>86</v>
      </c>
      <c r="E84" s="25" t="s">
        <v>17</v>
      </c>
      <c r="F84" s="25" t="s">
        <v>94</v>
      </c>
      <c r="G84" s="1" t="s">
        <v>368</v>
      </c>
      <c r="H84" s="155"/>
      <c r="I84" s="98" t="str">
        <f t="shared" si="9"/>
        <v>&lt;vul in&gt;</v>
      </c>
      <c r="J84" s="167"/>
      <c r="K84" s="167"/>
      <c r="L84" s="165"/>
      <c r="M84" s="26"/>
      <c r="N84" s="26"/>
      <c r="O84" s="26"/>
      <c r="P84" s="26"/>
      <c r="Q84" s="26"/>
      <c r="R84" s="26"/>
      <c r="S84" s="26"/>
      <c r="T84" s="25"/>
      <c r="U84" s="25"/>
      <c r="W84" s="25"/>
      <c r="X84" s="25"/>
      <c r="Y84" s="25" t="s">
        <v>23</v>
      </c>
    </row>
    <row r="85" spans="1:25" ht="13.2">
      <c r="A85" s="20"/>
      <c r="B85" s="338"/>
      <c r="C85" s="319" t="s">
        <v>97</v>
      </c>
      <c r="D85" s="26" t="s">
        <v>98</v>
      </c>
      <c r="E85" s="25" t="s">
        <v>23</v>
      </c>
      <c r="F85" s="25" t="s">
        <v>94</v>
      </c>
      <c r="G85" s="26"/>
      <c r="H85" s="26"/>
      <c r="I85" s="26" t="str">
        <f t="shared" si="9"/>
        <v>-</v>
      </c>
      <c r="J85" s="116"/>
      <c r="K85" s="116"/>
      <c r="L85" s="26"/>
      <c r="M85" s="26"/>
      <c r="N85" s="26"/>
      <c r="O85" s="26"/>
      <c r="P85" s="26"/>
      <c r="Q85" s="26"/>
      <c r="R85" s="26"/>
      <c r="S85" s="26"/>
      <c r="T85" s="25"/>
      <c r="U85" s="25"/>
      <c r="V85" s="26"/>
      <c r="W85" s="25"/>
      <c r="X85" s="25"/>
      <c r="Y85" s="25" t="s">
        <v>23</v>
      </c>
    </row>
    <row r="86" spans="1:25" ht="13.2">
      <c r="A86" s="20"/>
      <c r="B86" s="338"/>
      <c r="C86" s="338"/>
      <c r="D86" s="26" t="s">
        <v>100</v>
      </c>
      <c r="E86" s="25" t="s">
        <v>23</v>
      </c>
      <c r="F86" s="25" t="s">
        <v>94</v>
      </c>
      <c r="G86" s="26"/>
      <c r="H86" s="26"/>
      <c r="I86" s="26" t="str">
        <f t="shared" si="9"/>
        <v>-</v>
      </c>
      <c r="J86" s="26"/>
      <c r="K86" s="26"/>
      <c r="L86" s="26"/>
      <c r="M86" s="26"/>
      <c r="N86" s="26"/>
      <c r="O86" s="26"/>
      <c r="P86" s="26"/>
      <c r="Q86" s="26"/>
      <c r="R86" s="26"/>
      <c r="S86" s="26"/>
      <c r="T86" s="25"/>
      <c r="U86" s="25"/>
      <c r="V86" s="26"/>
      <c r="W86" s="25"/>
      <c r="X86" s="25"/>
      <c r="Y86" s="25" t="s">
        <v>23</v>
      </c>
    </row>
    <row r="87" spans="1:25" ht="13.2">
      <c r="A87" s="20"/>
      <c r="B87" s="338"/>
      <c r="C87" s="338"/>
      <c r="D87" s="25" t="s">
        <v>101</v>
      </c>
      <c r="E87" s="25" t="s">
        <v>23</v>
      </c>
      <c r="F87" s="25" t="s">
        <v>94</v>
      </c>
      <c r="G87" s="26"/>
      <c r="H87" s="26"/>
      <c r="I87" s="26" t="str">
        <f t="shared" si="9"/>
        <v>-</v>
      </c>
      <c r="J87" s="26"/>
      <c r="K87" s="26"/>
      <c r="L87" s="26"/>
      <c r="M87" s="26"/>
      <c r="N87" s="26"/>
      <c r="O87" s="26"/>
      <c r="P87" s="26"/>
      <c r="Q87" s="26"/>
      <c r="R87" s="26"/>
      <c r="S87" s="26"/>
      <c r="T87" s="25"/>
      <c r="U87" s="25"/>
      <c r="V87" s="26"/>
      <c r="W87" s="25"/>
      <c r="X87" s="25"/>
      <c r="Y87" s="25" t="s">
        <v>23</v>
      </c>
    </row>
    <row r="88" spans="1:25" ht="13.2">
      <c r="A88" s="20"/>
      <c r="B88" s="338"/>
      <c r="C88" s="336"/>
      <c r="D88" s="26" t="s">
        <v>102</v>
      </c>
      <c r="E88" s="25" t="s">
        <v>23</v>
      </c>
      <c r="F88" s="25" t="s">
        <v>94</v>
      </c>
      <c r="G88" s="26"/>
      <c r="H88" s="26"/>
      <c r="I88" s="26" t="str">
        <f t="shared" si="9"/>
        <v>-</v>
      </c>
      <c r="J88" s="26"/>
      <c r="K88" s="26"/>
      <c r="L88" s="26"/>
      <c r="M88" s="26"/>
      <c r="N88" s="26"/>
      <c r="O88" s="26"/>
      <c r="P88" s="26"/>
      <c r="Q88" s="26"/>
      <c r="R88" s="26"/>
      <c r="S88" s="26"/>
      <c r="T88" s="25"/>
      <c r="U88" s="25"/>
      <c r="V88" s="26"/>
      <c r="W88" s="25"/>
      <c r="X88" s="25"/>
      <c r="Y88" s="25" t="s">
        <v>23</v>
      </c>
    </row>
    <row r="89" spans="1:25" ht="39.6">
      <c r="A89" s="20"/>
      <c r="B89" s="338"/>
      <c r="C89" s="319" t="s">
        <v>103</v>
      </c>
      <c r="D89" s="26" t="s">
        <v>104</v>
      </c>
      <c r="E89" s="25" t="s">
        <v>17</v>
      </c>
      <c r="F89" s="25" t="s">
        <v>94</v>
      </c>
      <c r="G89" s="26" t="s">
        <v>171</v>
      </c>
      <c r="H89" s="26"/>
      <c r="I89" s="26" t="str">
        <f t="shared" si="9"/>
        <v>&lt;vul in&gt;</v>
      </c>
      <c r="J89" s="26"/>
      <c r="K89" s="26"/>
      <c r="L89" s="26"/>
      <c r="M89" s="26"/>
      <c r="N89" s="26"/>
      <c r="O89" s="26"/>
      <c r="P89" s="26"/>
      <c r="Q89" s="26"/>
      <c r="R89" s="26"/>
      <c r="S89" s="26"/>
      <c r="T89" s="25"/>
      <c r="U89" s="25"/>
      <c r="V89" s="26"/>
      <c r="W89" s="25"/>
      <c r="X89" s="25"/>
      <c r="Y89" s="25" t="s">
        <v>23</v>
      </c>
    </row>
    <row r="90" spans="1:25" ht="26.4">
      <c r="A90" s="20"/>
      <c r="B90" s="338"/>
      <c r="C90" s="338"/>
      <c r="D90" s="26" t="s">
        <v>109</v>
      </c>
      <c r="E90" s="25" t="s">
        <v>17</v>
      </c>
      <c r="F90" s="26" t="str">
        <f t="shared" ref="F90:F92" si="10">IF(E90="Nee","-","&lt;vul in&gt;")</f>
        <v>&lt;vul in&gt;</v>
      </c>
      <c r="G90" s="26" t="s">
        <v>172</v>
      </c>
      <c r="H90" s="26"/>
      <c r="I90" s="26" t="str">
        <f t="shared" si="9"/>
        <v>&lt;vul in&gt;</v>
      </c>
      <c r="J90" s="26"/>
      <c r="K90" s="26"/>
      <c r="L90" s="26"/>
      <c r="M90" s="26"/>
      <c r="N90" s="26"/>
      <c r="O90" s="26"/>
      <c r="P90" s="26"/>
      <c r="Q90" s="26"/>
      <c r="R90" s="26"/>
      <c r="S90" s="26"/>
      <c r="T90" s="25"/>
      <c r="U90" s="25"/>
      <c r="V90" s="26"/>
      <c r="W90" s="25"/>
      <c r="X90" s="25"/>
      <c r="Y90" s="25" t="s">
        <v>23</v>
      </c>
    </row>
    <row r="91" spans="1:25" ht="26.4">
      <c r="A91" s="20"/>
      <c r="B91" s="338"/>
      <c r="C91" s="338"/>
      <c r="D91" s="26" t="s">
        <v>110</v>
      </c>
      <c r="E91" s="25" t="s">
        <v>17</v>
      </c>
      <c r="F91" s="26" t="str">
        <f t="shared" si="10"/>
        <v>&lt;vul in&gt;</v>
      </c>
      <c r="G91" s="1" t="s">
        <v>173</v>
      </c>
      <c r="H91" s="1"/>
      <c r="I91" s="26" t="str">
        <f t="shared" si="9"/>
        <v>&lt;vul in&gt;</v>
      </c>
      <c r="J91" s="26"/>
      <c r="K91" s="26"/>
      <c r="L91" s="26"/>
      <c r="M91" s="26"/>
      <c r="N91" s="26"/>
      <c r="O91" s="26"/>
      <c r="P91" s="26"/>
      <c r="Q91" s="26"/>
      <c r="R91" s="26"/>
      <c r="S91" s="26"/>
      <c r="T91" s="25"/>
      <c r="U91" s="25"/>
      <c r="V91" s="26"/>
      <c r="W91" s="25"/>
      <c r="X91" s="25"/>
      <c r="Y91" s="25" t="s">
        <v>23</v>
      </c>
    </row>
    <row r="92" spans="1:25" ht="13.2">
      <c r="A92" s="20"/>
      <c r="B92" s="338"/>
      <c r="C92" s="336"/>
      <c r="D92" s="26" t="s">
        <v>111</v>
      </c>
      <c r="E92" s="28" t="s">
        <v>174</v>
      </c>
      <c r="F92" s="26" t="str">
        <f t="shared" si="10"/>
        <v>&lt;vul in&gt;</v>
      </c>
      <c r="G92" s="26"/>
      <c r="H92" s="26"/>
      <c r="I92" s="26" t="str">
        <f t="shared" si="9"/>
        <v>&lt;vul in&gt;</v>
      </c>
      <c r="J92" s="26"/>
      <c r="K92" s="26"/>
      <c r="L92" s="26"/>
      <c r="M92" s="26"/>
      <c r="N92" s="26"/>
      <c r="O92" s="26"/>
      <c r="P92" s="26"/>
      <c r="Q92" s="26"/>
      <c r="R92" s="26"/>
      <c r="S92" s="26"/>
      <c r="T92" s="25"/>
      <c r="U92" s="25"/>
      <c r="V92" s="26"/>
      <c r="W92" s="25"/>
      <c r="X92" s="25"/>
      <c r="Y92" s="25" t="s">
        <v>23</v>
      </c>
    </row>
    <row r="93" spans="1:25" ht="13.2">
      <c r="A93" s="20"/>
      <c r="B93" s="338"/>
      <c r="C93" s="319" t="s">
        <v>112</v>
      </c>
      <c r="D93" s="26" t="s">
        <v>86</v>
      </c>
      <c r="E93" s="25" t="s">
        <v>23</v>
      </c>
      <c r="F93" s="26"/>
      <c r="G93" s="26"/>
      <c r="H93" s="26"/>
      <c r="I93" s="26"/>
      <c r="J93" s="26"/>
      <c r="K93" s="26"/>
      <c r="L93" s="26"/>
      <c r="M93" s="26"/>
      <c r="N93" s="26"/>
      <c r="O93" s="26"/>
      <c r="P93" s="26"/>
      <c r="Q93" s="26"/>
      <c r="R93" s="26"/>
      <c r="S93" s="26"/>
      <c r="T93" s="25"/>
      <c r="U93" s="25"/>
      <c r="V93" s="26"/>
      <c r="W93" s="25"/>
      <c r="X93" s="25"/>
      <c r="Y93" s="25" t="s">
        <v>23</v>
      </c>
    </row>
    <row r="94" spans="1:25" ht="13.2">
      <c r="A94" s="20"/>
      <c r="B94" s="338"/>
      <c r="C94" s="338"/>
      <c r="D94" s="26" t="s">
        <v>116</v>
      </c>
      <c r="E94" s="25" t="s">
        <v>23</v>
      </c>
      <c r="F94" s="26" t="str">
        <f t="shared" ref="F94:F107" si="11">IF(E94="Nee","-","&lt;vul in&gt;")</f>
        <v>-</v>
      </c>
      <c r="G94" s="26"/>
      <c r="H94" s="26"/>
      <c r="I94" s="26" t="str">
        <f t="shared" ref="I94:I107" si="12">IF(E94="Nee","-","&lt;vul in&gt;")</f>
        <v>-</v>
      </c>
      <c r="J94" s="26"/>
      <c r="K94" s="26"/>
      <c r="L94" s="26"/>
      <c r="M94" s="26"/>
      <c r="N94" s="26"/>
      <c r="O94" s="26"/>
      <c r="P94" s="26"/>
      <c r="Q94" s="26"/>
      <c r="R94" s="26"/>
      <c r="S94" s="26"/>
      <c r="T94" s="25"/>
      <c r="U94" s="25"/>
      <c r="V94" s="26"/>
      <c r="W94" s="25"/>
      <c r="X94" s="25"/>
      <c r="Y94" s="25" t="s">
        <v>23</v>
      </c>
    </row>
    <row r="95" spans="1:25" ht="13.2">
      <c r="A95" s="20"/>
      <c r="B95" s="338"/>
      <c r="C95" s="336"/>
      <c r="D95" s="26" t="s">
        <v>120</v>
      </c>
      <c r="E95" s="25" t="s">
        <v>23</v>
      </c>
      <c r="F95" s="26" t="str">
        <f t="shared" si="11"/>
        <v>-</v>
      </c>
      <c r="G95" s="26"/>
      <c r="H95" s="26"/>
      <c r="I95" s="26" t="str">
        <f t="shared" si="12"/>
        <v>-</v>
      </c>
      <c r="J95" s="26"/>
      <c r="K95" s="26"/>
      <c r="L95" s="26"/>
      <c r="M95" s="26"/>
      <c r="N95" s="26"/>
      <c r="O95" s="26"/>
      <c r="P95" s="26"/>
      <c r="Q95" s="26"/>
      <c r="R95" s="26"/>
      <c r="S95" s="26"/>
      <c r="T95" s="25"/>
      <c r="U95" s="25"/>
      <c r="V95" s="26"/>
      <c r="W95" s="25"/>
      <c r="X95" s="25"/>
      <c r="Y95" s="25" t="s">
        <v>23</v>
      </c>
    </row>
    <row r="96" spans="1:25" ht="13.2">
      <c r="A96" s="20"/>
      <c r="B96" s="338"/>
      <c r="C96" s="319" t="s">
        <v>122</v>
      </c>
      <c r="D96" s="26" t="s">
        <v>86</v>
      </c>
      <c r="E96" s="25" t="s">
        <v>23</v>
      </c>
      <c r="F96" s="26" t="str">
        <f t="shared" si="11"/>
        <v>-</v>
      </c>
      <c r="G96" s="26"/>
      <c r="H96" s="26"/>
      <c r="I96" s="26" t="str">
        <f t="shared" si="12"/>
        <v>-</v>
      </c>
      <c r="J96" s="26"/>
      <c r="K96" s="26"/>
      <c r="L96" s="26"/>
      <c r="M96" s="26"/>
      <c r="N96" s="26"/>
      <c r="O96" s="26"/>
      <c r="P96" s="26"/>
      <c r="Q96" s="26"/>
      <c r="R96" s="26"/>
      <c r="S96" s="26"/>
      <c r="T96" s="25"/>
      <c r="U96" s="25"/>
      <c r="V96" s="26"/>
      <c r="W96" s="25"/>
      <c r="X96" s="25"/>
      <c r="Y96" s="25" t="s">
        <v>23</v>
      </c>
    </row>
    <row r="97" spans="1:25" ht="13.2">
      <c r="A97" s="20"/>
      <c r="B97" s="338"/>
      <c r="C97" s="338"/>
      <c r="D97" s="26" t="s">
        <v>123</v>
      </c>
      <c r="E97" s="25" t="s">
        <v>23</v>
      </c>
      <c r="F97" s="26" t="str">
        <f t="shared" si="11"/>
        <v>-</v>
      </c>
      <c r="G97" s="26"/>
      <c r="H97" s="26"/>
      <c r="I97" s="26" t="str">
        <f t="shared" si="12"/>
        <v>-</v>
      </c>
      <c r="J97" s="26"/>
      <c r="K97" s="26"/>
      <c r="L97" s="26"/>
      <c r="M97" s="26"/>
      <c r="N97" s="26"/>
      <c r="O97" s="26"/>
      <c r="P97" s="26"/>
      <c r="Q97" s="26"/>
      <c r="R97" s="26"/>
      <c r="S97" s="26"/>
      <c r="T97" s="25"/>
      <c r="U97" s="25"/>
      <c r="V97" s="26"/>
      <c r="W97" s="25"/>
      <c r="X97" s="25"/>
      <c r="Y97" s="25" t="s">
        <v>23</v>
      </c>
    </row>
    <row r="98" spans="1:25" ht="13.2">
      <c r="A98" s="20"/>
      <c r="B98" s="338"/>
      <c r="C98" s="336"/>
      <c r="D98" s="26" t="s">
        <v>126</v>
      </c>
      <c r="E98" s="25" t="s">
        <v>23</v>
      </c>
      <c r="F98" s="26" t="str">
        <f t="shared" si="11"/>
        <v>-</v>
      </c>
      <c r="G98" s="26"/>
      <c r="H98" s="26"/>
      <c r="I98" s="26" t="str">
        <f t="shared" si="12"/>
        <v>-</v>
      </c>
      <c r="J98" s="26"/>
      <c r="K98" s="26"/>
      <c r="L98" s="26"/>
      <c r="M98" s="26"/>
      <c r="N98" s="26"/>
      <c r="O98" s="26"/>
      <c r="P98" s="26"/>
      <c r="Q98" s="26"/>
      <c r="R98" s="26"/>
      <c r="S98" s="26"/>
      <c r="T98" s="25"/>
      <c r="U98" s="25"/>
      <c r="V98" s="26"/>
      <c r="W98" s="25"/>
      <c r="X98" s="25"/>
      <c r="Y98" s="25" t="s">
        <v>23</v>
      </c>
    </row>
    <row r="99" spans="1:25" ht="13.2">
      <c r="A99" s="20"/>
      <c r="B99" s="338"/>
      <c r="C99" s="319" t="s">
        <v>128</v>
      </c>
      <c r="D99" s="20" t="s">
        <v>86</v>
      </c>
      <c r="E99" s="25" t="s">
        <v>23</v>
      </c>
      <c r="F99" s="26" t="str">
        <f t="shared" si="11"/>
        <v>-</v>
      </c>
      <c r="G99" s="26"/>
      <c r="H99" s="26"/>
      <c r="I99" s="26" t="str">
        <f t="shared" si="12"/>
        <v>-</v>
      </c>
      <c r="J99" s="26"/>
      <c r="K99" s="26"/>
      <c r="L99" s="26"/>
      <c r="M99" s="26"/>
      <c r="N99" s="26"/>
      <c r="O99" s="26"/>
      <c r="P99" s="26"/>
      <c r="Q99" s="26"/>
      <c r="R99" s="26"/>
      <c r="S99" s="26"/>
      <c r="T99" s="25"/>
      <c r="U99" s="25"/>
      <c r="V99" s="26"/>
      <c r="W99" s="25"/>
      <c r="X99" s="25"/>
      <c r="Y99" s="25" t="s">
        <v>23</v>
      </c>
    </row>
    <row r="100" spans="1:25" ht="13.2">
      <c r="A100" s="20"/>
      <c r="B100" s="338"/>
      <c r="C100" s="338"/>
      <c r="D100" s="26" t="s">
        <v>129</v>
      </c>
      <c r="E100" s="25" t="s">
        <v>23</v>
      </c>
      <c r="F100" s="26" t="str">
        <f t="shared" si="11"/>
        <v>-</v>
      </c>
      <c r="G100" s="26"/>
      <c r="H100" s="26"/>
      <c r="I100" s="26" t="str">
        <f t="shared" si="12"/>
        <v>-</v>
      </c>
      <c r="J100" s="26"/>
      <c r="K100" s="26"/>
      <c r="L100" s="26"/>
      <c r="M100" s="26"/>
      <c r="N100" s="26"/>
      <c r="O100" s="26"/>
      <c r="P100" s="26"/>
      <c r="Q100" s="26"/>
      <c r="R100" s="26"/>
      <c r="S100" s="26"/>
      <c r="T100" s="25"/>
      <c r="U100" s="25"/>
      <c r="V100" s="26"/>
      <c r="W100" s="25"/>
      <c r="X100" s="25"/>
      <c r="Y100" s="25" t="s">
        <v>23</v>
      </c>
    </row>
    <row r="101" spans="1:25" ht="13.2">
      <c r="A101" s="20"/>
      <c r="B101" s="338"/>
      <c r="C101" s="338"/>
      <c r="D101" s="26" t="s">
        <v>132</v>
      </c>
      <c r="E101" s="25" t="s">
        <v>23</v>
      </c>
      <c r="F101" s="26" t="str">
        <f t="shared" si="11"/>
        <v>-</v>
      </c>
      <c r="G101" s="26"/>
      <c r="H101" s="26"/>
      <c r="I101" s="26" t="str">
        <f t="shared" si="12"/>
        <v>-</v>
      </c>
      <c r="J101" s="26"/>
      <c r="K101" s="26"/>
      <c r="L101" s="26"/>
      <c r="M101" s="26"/>
      <c r="N101" s="26"/>
      <c r="O101" s="26"/>
      <c r="P101" s="26"/>
      <c r="Q101" s="26"/>
      <c r="R101" s="26"/>
      <c r="S101" s="26"/>
      <c r="T101" s="25"/>
      <c r="U101" s="25"/>
      <c r="V101" s="26"/>
      <c r="W101" s="25"/>
      <c r="X101" s="25"/>
      <c r="Y101" s="25" t="s">
        <v>23</v>
      </c>
    </row>
    <row r="102" spans="1:25" ht="13.2">
      <c r="A102" s="20"/>
      <c r="B102" s="338"/>
      <c r="C102" s="336"/>
      <c r="D102" s="26" t="s">
        <v>133</v>
      </c>
      <c r="E102" s="25" t="s">
        <v>23</v>
      </c>
      <c r="F102" s="26" t="str">
        <f t="shared" si="11"/>
        <v>-</v>
      </c>
      <c r="G102" s="26"/>
      <c r="H102" s="26"/>
      <c r="I102" s="26" t="str">
        <f t="shared" si="12"/>
        <v>-</v>
      </c>
      <c r="J102" s="26"/>
      <c r="K102" s="26"/>
      <c r="L102" s="26"/>
      <c r="M102" s="26"/>
      <c r="N102" s="26"/>
      <c r="O102" s="26"/>
      <c r="P102" s="26"/>
      <c r="Q102" s="26"/>
      <c r="R102" s="26"/>
      <c r="S102" s="26"/>
      <c r="T102" s="25"/>
      <c r="U102" s="25"/>
      <c r="V102" s="26"/>
      <c r="W102" s="25"/>
      <c r="X102" s="25"/>
      <c r="Y102" s="25" t="s">
        <v>23</v>
      </c>
    </row>
    <row r="103" spans="1:25" ht="13.2">
      <c r="A103" s="20"/>
      <c r="B103" s="338"/>
      <c r="C103" s="319" t="s">
        <v>134</v>
      </c>
      <c r="D103" s="26" t="s">
        <v>135</v>
      </c>
      <c r="E103" s="25" t="s">
        <v>23</v>
      </c>
      <c r="F103" s="26" t="str">
        <f t="shared" si="11"/>
        <v>-</v>
      </c>
      <c r="G103" s="26"/>
      <c r="H103" s="26"/>
      <c r="I103" s="26" t="str">
        <f t="shared" si="12"/>
        <v>-</v>
      </c>
      <c r="J103" s="26"/>
      <c r="K103" s="26"/>
      <c r="L103" s="26"/>
      <c r="M103" s="26"/>
      <c r="N103" s="26"/>
      <c r="O103" s="26"/>
      <c r="P103" s="26"/>
      <c r="Q103" s="26"/>
      <c r="R103" s="26"/>
      <c r="S103" s="26"/>
      <c r="T103" s="25"/>
      <c r="U103" s="25"/>
      <c r="V103" s="26"/>
      <c r="W103" s="25"/>
      <c r="X103" s="25"/>
      <c r="Y103" s="25" t="s">
        <v>23</v>
      </c>
    </row>
    <row r="104" spans="1:25" ht="13.2">
      <c r="A104" s="20"/>
      <c r="B104" s="338"/>
      <c r="C104" s="338"/>
      <c r="D104" s="26" t="s">
        <v>140</v>
      </c>
      <c r="E104" s="25" t="s">
        <v>23</v>
      </c>
      <c r="F104" s="26" t="str">
        <f t="shared" si="11"/>
        <v>-</v>
      </c>
      <c r="G104" s="26"/>
      <c r="H104" s="26"/>
      <c r="I104" s="26" t="str">
        <f t="shared" si="12"/>
        <v>-</v>
      </c>
      <c r="J104" s="26"/>
      <c r="K104" s="26"/>
      <c r="L104" s="26"/>
      <c r="M104" s="26"/>
      <c r="N104" s="26"/>
      <c r="O104" s="26"/>
      <c r="P104" s="26"/>
      <c r="Q104" s="26"/>
      <c r="R104" s="26"/>
      <c r="S104" s="26"/>
      <c r="T104" s="25"/>
      <c r="U104" s="25"/>
      <c r="V104" s="26"/>
      <c r="W104" s="25"/>
      <c r="X104" s="25"/>
      <c r="Y104" s="25" t="s">
        <v>23</v>
      </c>
    </row>
    <row r="105" spans="1:25" ht="13.2">
      <c r="A105" s="20"/>
      <c r="B105" s="338"/>
      <c r="C105" s="338"/>
      <c r="D105" s="26" t="s">
        <v>142</v>
      </c>
      <c r="E105" s="25" t="s">
        <v>23</v>
      </c>
      <c r="F105" s="26" t="str">
        <f t="shared" si="11"/>
        <v>-</v>
      </c>
      <c r="G105" s="26"/>
      <c r="H105" s="26"/>
      <c r="I105" s="26" t="str">
        <f t="shared" si="12"/>
        <v>-</v>
      </c>
      <c r="J105" s="26"/>
      <c r="K105" s="26"/>
      <c r="L105" s="26"/>
      <c r="M105" s="26"/>
      <c r="N105" s="26"/>
      <c r="O105" s="26"/>
      <c r="P105" s="26"/>
      <c r="Q105" s="26"/>
      <c r="R105" s="26"/>
      <c r="S105" s="26"/>
      <c r="T105" s="25"/>
      <c r="U105" s="25"/>
      <c r="V105" s="26"/>
      <c r="W105" s="25"/>
      <c r="X105" s="25"/>
      <c r="Y105" s="25" t="s">
        <v>23</v>
      </c>
    </row>
    <row r="106" spans="1:25" ht="13.2">
      <c r="A106" s="20"/>
      <c r="B106" s="338"/>
      <c r="C106" s="338"/>
      <c r="D106" s="26" t="s">
        <v>143</v>
      </c>
      <c r="E106" s="25" t="s">
        <v>23</v>
      </c>
      <c r="F106" s="26" t="str">
        <f t="shared" si="11"/>
        <v>-</v>
      </c>
      <c r="G106" s="26"/>
      <c r="H106" s="26"/>
      <c r="I106" s="26" t="str">
        <f t="shared" si="12"/>
        <v>-</v>
      </c>
      <c r="J106" s="26"/>
      <c r="K106" s="26"/>
      <c r="L106" s="26"/>
      <c r="M106" s="26"/>
      <c r="N106" s="26"/>
      <c r="O106" s="26"/>
      <c r="P106" s="26"/>
      <c r="Q106" s="26"/>
      <c r="R106" s="26"/>
      <c r="S106" s="26"/>
      <c r="T106" s="25"/>
      <c r="U106" s="25"/>
      <c r="V106" s="26"/>
      <c r="W106" s="25"/>
      <c r="X106" s="25"/>
      <c r="Y106" s="25" t="s">
        <v>23</v>
      </c>
    </row>
    <row r="107" spans="1:25" ht="13.2">
      <c r="A107" s="20"/>
      <c r="B107" s="336"/>
      <c r="C107" s="336"/>
      <c r="D107" s="26" t="s">
        <v>144</v>
      </c>
      <c r="E107" s="25" t="s">
        <v>23</v>
      </c>
      <c r="F107" s="26" t="str">
        <f t="shared" si="11"/>
        <v>-</v>
      </c>
      <c r="G107" s="26"/>
      <c r="H107" s="26"/>
      <c r="I107" s="26" t="str">
        <f t="shared" si="12"/>
        <v>-</v>
      </c>
      <c r="J107" s="26"/>
      <c r="K107" s="26"/>
      <c r="L107" s="26"/>
      <c r="M107" s="26"/>
      <c r="N107" s="26"/>
      <c r="O107" s="26"/>
      <c r="P107" s="26"/>
      <c r="Q107" s="26"/>
      <c r="R107" s="26"/>
      <c r="S107" s="26"/>
      <c r="T107" s="25"/>
      <c r="U107" s="25"/>
      <c r="V107" s="26"/>
      <c r="W107" s="25"/>
      <c r="X107" s="25"/>
      <c r="Y107" s="25" t="s">
        <v>23</v>
      </c>
    </row>
    <row r="108" spans="1:25" ht="13.2">
      <c r="A108" s="20"/>
      <c r="B108" s="327" t="s">
        <v>12</v>
      </c>
      <c r="C108" s="305" t="s">
        <v>175</v>
      </c>
      <c r="D108" s="30" t="s">
        <v>176</v>
      </c>
      <c r="E108" s="25" t="s">
        <v>17</v>
      </c>
      <c r="F108" s="26" t="s">
        <v>369</v>
      </c>
      <c r="G108" s="26"/>
      <c r="H108" s="26"/>
      <c r="I108" s="47" t="s">
        <v>93</v>
      </c>
      <c r="J108" s="47"/>
      <c r="K108" s="47"/>
      <c r="L108" s="47"/>
      <c r="M108" s="47"/>
      <c r="N108" s="47"/>
      <c r="O108" s="47"/>
      <c r="P108" s="47"/>
      <c r="Q108" s="47"/>
      <c r="R108" s="47" t="s">
        <v>17</v>
      </c>
      <c r="S108" s="47" t="s">
        <v>17</v>
      </c>
      <c r="T108" s="25" t="s">
        <v>178</v>
      </c>
      <c r="U108" s="25" t="s">
        <v>95</v>
      </c>
      <c r="V108" s="26" t="s">
        <v>179</v>
      </c>
      <c r="W108" s="25" t="s">
        <v>180</v>
      </c>
      <c r="X108" s="40">
        <v>45944</v>
      </c>
      <c r="Y108" s="25" t="s">
        <v>17</v>
      </c>
    </row>
    <row r="109" spans="1:25" ht="13.2">
      <c r="A109" s="20"/>
      <c r="B109" s="338"/>
      <c r="C109" s="336"/>
      <c r="D109" s="41" t="s">
        <v>183</v>
      </c>
      <c r="E109" s="25" t="s">
        <v>17</v>
      </c>
      <c r="F109" s="26" t="s">
        <v>184</v>
      </c>
      <c r="G109" s="26" t="s">
        <v>185</v>
      </c>
      <c r="H109" s="26"/>
      <c r="I109" s="47" t="s">
        <v>93</v>
      </c>
      <c r="J109" s="47"/>
      <c r="K109" s="47"/>
      <c r="L109" s="47"/>
      <c r="M109" s="47"/>
      <c r="N109" s="47"/>
      <c r="O109" s="47"/>
      <c r="P109" s="47"/>
      <c r="Q109" s="47"/>
      <c r="R109" s="47" t="s">
        <v>17</v>
      </c>
      <c r="S109" s="47" t="s">
        <v>17</v>
      </c>
      <c r="T109" s="25" t="s">
        <v>186</v>
      </c>
      <c r="U109" s="25" t="s">
        <v>17</v>
      </c>
      <c r="V109" s="26" t="s">
        <v>187</v>
      </c>
      <c r="W109" s="25" t="s">
        <v>180</v>
      </c>
      <c r="X109" s="42">
        <v>45951</v>
      </c>
      <c r="Y109" s="25" t="s">
        <v>17</v>
      </c>
    </row>
    <row r="110" spans="1:25" ht="13.2">
      <c r="A110" s="20"/>
      <c r="B110" s="338"/>
      <c r="C110" s="305" t="s">
        <v>188</v>
      </c>
      <c r="D110" s="30" t="s">
        <v>176</v>
      </c>
      <c r="E110" s="25" t="s">
        <v>17</v>
      </c>
      <c r="F110" s="26" t="s">
        <v>369</v>
      </c>
      <c r="G110" s="26"/>
      <c r="H110" s="26"/>
      <c r="I110" s="47" t="s">
        <v>93</v>
      </c>
      <c r="J110" s="47"/>
      <c r="K110" s="47"/>
      <c r="L110" s="47"/>
      <c r="M110" s="47"/>
      <c r="N110" s="47"/>
      <c r="O110" s="47"/>
      <c r="P110" s="47"/>
      <c r="Q110" s="47"/>
      <c r="R110" s="47" t="s">
        <v>17</v>
      </c>
      <c r="S110" s="47" t="s">
        <v>17</v>
      </c>
      <c r="T110" s="25" t="s">
        <v>178</v>
      </c>
      <c r="U110" s="25" t="s">
        <v>95</v>
      </c>
      <c r="V110" s="26" t="s">
        <v>179</v>
      </c>
      <c r="W110" s="25" t="s">
        <v>180</v>
      </c>
      <c r="X110" s="40">
        <v>45944</v>
      </c>
      <c r="Y110" s="25" t="s">
        <v>17</v>
      </c>
    </row>
    <row r="111" spans="1:25" ht="13.2">
      <c r="A111" s="20"/>
      <c r="B111" s="338"/>
      <c r="C111" s="356"/>
      <c r="D111" s="46" t="s">
        <v>370</v>
      </c>
      <c r="E111" s="43" t="s">
        <v>17</v>
      </c>
      <c r="F111" s="45" t="s">
        <v>371</v>
      </c>
      <c r="G111" s="45" t="s">
        <v>372</v>
      </c>
      <c r="H111" s="45"/>
      <c r="I111" s="47" t="s">
        <v>93</v>
      </c>
      <c r="J111" s="47"/>
      <c r="K111" s="47"/>
      <c r="L111" s="47"/>
      <c r="M111" s="47"/>
      <c r="N111" s="47"/>
      <c r="O111" s="47"/>
      <c r="P111" s="47"/>
      <c r="Q111" s="47"/>
      <c r="R111" s="47" t="s">
        <v>17</v>
      </c>
      <c r="S111" s="47" t="s">
        <v>17</v>
      </c>
      <c r="T111" s="43" t="s">
        <v>186</v>
      </c>
      <c r="U111" s="25"/>
      <c r="V111" s="26"/>
      <c r="W111" s="25"/>
      <c r="X111" s="40"/>
      <c r="Y111" s="25"/>
    </row>
    <row r="112" spans="1:25" ht="26.4">
      <c r="A112" s="20"/>
      <c r="B112" s="338"/>
      <c r="C112" s="336"/>
      <c r="D112" s="41" t="s">
        <v>373</v>
      </c>
      <c r="E112" s="25" t="s">
        <v>17</v>
      </c>
      <c r="F112" s="26" t="s">
        <v>374</v>
      </c>
      <c r="G112" s="26" t="s">
        <v>375</v>
      </c>
      <c r="H112" s="26"/>
      <c r="I112" s="47" t="s">
        <v>93</v>
      </c>
      <c r="J112" s="47"/>
      <c r="K112" s="47"/>
      <c r="L112" s="47"/>
      <c r="M112" s="47"/>
      <c r="N112" s="47"/>
      <c r="O112" s="47"/>
      <c r="P112" s="47"/>
      <c r="Q112" s="47"/>
      <c r="R112" s="47" t="s">
        <v>17</v>
      </c>
      <c r="S112" s="47" t="s">
        <v>17</v>
      </c>
      <c r="T112" s="25" t="s">
        <v>186</v>
      </c>
      <c r="U112" s="25" t="s">
        <v>17</v>
      </c>
      <c r="V112" s="26" t="s">
        <v>194</v>
      </c>
      <c r="W112" s="25" t="s">
        <v>180</v>
      </c>
      <c r="X112" s="42">
        <v>45951</v>
      </c>
      <c r="Y112" s="25" t="s">
        <v>17</v>
      </c>
    </row>
    <row r="113" spans="1:25" ht="13.2">
      <c r="A113" s="20"/>
      <c r="B113" s="338"/>
      <c r="C113" s="357" t="s">
        <v>200</v>
      </c>
      <c r="D113" s="41" t="s">
        <v>376</v>
      </c>
      <c r="E113" s="25"/>
      <c r="F113" s="26"/>
      <c r="G113" s="26"/>
      <c r="H113" s="26"/>
      <c r="I113" s="26"/>
      <c r="J113" s="26"/>
      <c r="K113" s="26"/>
      <c r="L113" s="26"/>
      <c r="M113" s="26"/>
      <c r="N113" s="26"/>
      <c r="O113" s="26"/>
      <c r="P113" s="26"/>
      <c r="Q113" s="26"/>
      <c r="R113" s="26"/>
      <c r="S113" s="26"/>
      <c r="T113" s="25"/>
      <c r="U113" s="25"/>
      <c r="V113" s="26"/>
      <c r="W113" s="25"/>
      <c r="X113" s="42"/>
      <c r="Y113" s="25"/>
    </row>
    <row r="114" spans="1:25" ht="13.2">
      <c r="A114" s="20"/>
      <c r="B114" s="338"/>
      <c r="C114" s="358"/>
      <c r="D114" s="41" t="s">
        <v>377</v>
      </c>
      <c r="E114" s="25"/>
      <c r="F114" s="26"/>
      <c r="G114" s="26"/>
      <c r="H114" s="26"/>
      <c r="I114" s="26"/>
      <c r="J114" s="26"/>
      <c r="K114" s="26"/>
      <c r="L114" s="26"/>
      <c r="M114" s="26"/>
      <c r="N114" s="26"/>
      <c r="O114" s="26"/>
      <c r="P114" s="26"/>
      <c r="Q114" s="26"/>
      <c r="R114" s="26"/>
      <c r="S114" s="26"/>
      <c r="T114" s="25"/>
      <c r="U114" s="25"/>
      <c r="V114" s="26"/>
      <c r="W114" s="25"/>
      <c r="X114" s="42"/>
      <c r="Y114" s="25"/>
    </row>
    <row r="115" spans="1:25" ht="13.2">
      <c r="A115" s="20"/>
      <c r="B115" s="338"/>
      <c r="C115" s="359"/>
      <c r="D115" s="41" t="s">
        <v>378</v>
      </c>
      <c r="E115" s="25"/>
      <c r="F115" s="26"/>
      <c r="G115" s="26"/>
      <c r="H115" s="26"/>
      <c r="I115" s="26"/>
      <c r="J115" s="26"/>
      <c r="K115" s="26"/>
      <c r="L115" s="26"/>
      <c r="M115" s="26"/>
      <c r="N115" s="26"/>
      <c r="O115" s="26"/>
      <c r="P115" s="26"/>
      <c r="Q115" s="26"/>
      <c r="R115" s="26"/>
      <c r="S115" s="26"/>
      <c r="T115" s="25"/>
      <c r="U115" s="25"/>
      <c r="V115" s="26"/>
      <c r="W115" s="25"/>
      <c r="X115" s="42"/>
      <c r="Y115" s="25"/>
    </row>
    <row r="116" spans="1:25" ht="13.2">
      <c r="A116" s="20"/>
      <c r="B116" s="336"/>
      <c r="C116" s="27" t="s">
        <v>379</v>
      </c>
      <c r="D116" s="30" t="s">
        <v>197</v>
      </c>
      <c r="E116" s="25" t="s">
        <v>17</v>
      </c>
      <c r="F116" s="26" t="str">
        <f t="shared" ref="F116:F126" si="13">IF(E116="Nee","-","&lt;vul in&gt;")</f>
        <v>&lt;vul in&gt;</v>
      </c>
      <c r="G116" s="26" t="s">
        <v>198</v>
      </c>
      <c r="H116" s="26"/>
      <c r="I116" s="26" t="s">
        <v>93</v>
      </c>
      <c r="J116" s="26"/>
      <c r="K116" s="26"/>
      <c r="L116" s="26"/>
      <c r="M116" s="26"/>
      <c r="N116" s="26"/>
      <c r="O116" s="26"/>
      <c r="P116" s="26"/>
      <c r="Q116" s="26"/>
      <c r="R116" s="26" t="s">
        <v>17</v>
      </c>
      <c r="S116" s="26" t="s">
        <v>17</v>
      </c>
      <c r="T116" s="25" t="s">
        <v>380</v>
      </c>
      <c r="U116" s="25" t="s">
        <v>95</v>
      </c>
      <c r="V116" s="26" t="s">
        <v>381</v>
      </c>
      <c r="W116" s="25" t="s">
        <v>180</v>
      </c>
      <c r="X116" s="40">
        <v>45944</v>
      </c>
      <c r="Y116" s="25" t="s">
        <v>17</v>
      </c>
    </row>
    <row r="117" spans="1:25" ht="13.2">
      <c r="A117" s="20"/>
      <c r="B117" s="327" t="s">
        <v>11</v>
      </c>
      <c r="C117" s="305" t="s">
        <v>201</v>
      </c>
      <c r="D117" s="44" t="s">
        <v>202</v>
      </c>
      <c r="E117" s="25" t="s">
        <v>17</v>
      </c>
      <c r="F117" s="26" t="str">
        <f t="shared" si="13"/>
        <v>&lt;vul in&gt;</v>
      </c>
      <c r="G117" s="26"/>
      <c r="H117" s="26"/>
      <c r="I117" s="26" t="str">
        <f t="shared" ref="I117:I126" si="14">IF(E117="Nee","-","&lt;vul in&gt;")</f>
        <v>&lt;vul in&gt;</v>
      </c>
      <c r="J117" s="26"/>
      <c r="K117" s="26"/>
      <c r="L117" s="26"/>
      <c r="M117" s="26"/>
      <c r="N117" s="26"/>
      <c r="O117" s="26"/>
      <c r="P117" s="26"/>
      <c r="Q117" s="26"/>
      <c r="R117" s="26"/>
      <c r="S117" s="26"/>
      <c r="T117" s="43" t="s">
        <v>94</v>
      </c>
      <c r="U117" s="43" t="s">
        <v>17</v>
      </c>
      <c r="V117" s="45" t="s">
        <v>203</v>
      </c>
      <c r="W117" s="25" t="s">
        <v>204</v>
      </c>
      <c r="X117" s="42">
        <v>45958</v>
      </c>
      <c r="Y117" s="43" t="s">
        <v>205</v>
      </c>
    </row>
    <row r="118" spans="1:25" ht="13.2">
      <c r="A118" s="20"/>
      <c r="B118" s="334"/>
      <c r="C118" s="356"/>
      <c r="D118" s="44" t="s">
        <v>206</v>
      </c>
      <c r="E118" s="25" t="s">
        <v>17</v>
      </c>
      <c r="F118" s="26" t="str">
        <f t="shared" ref="F118" si="15">IF(E118="Nee","-","&lt;vul in&gt;")</f>
        <v>&lt;vul in&gt;</v>
      </c>
      <c r="G118" s="26"/>
      <c r="H118" s="26"/>
      <c r="I118" s="26" t="str">
        <f t="shared" ref="I118" si="16">IF(E118="Nee","-","&lt;vul in&gt;")</f>
        <v>&lt;vul in&gt;</v>
      </c>
      <c r="J118" s="26"/>
      <c r="K118" s="26"/>
      <c r="L118" s="26"/>
      <c r="M118" s="26"/>
      <c r="N118" s="26"/>
      <c r="O118" s="26"/>
      <c r="P118" s="26"/>
      <c r="Q118" s="26"/>
      <c r="R118" s="26"/>
      <c r="S118" s="26"/>
      <c r="T118" s="25" t="s">
        <v>210</v>
      </c>
      <c r="U118" s="25" t="s">
        <v>23</v>
      </c>
      <c r="V118" s="26"/>
      <c r="W118" s="25" t="s">
        <v>204</v>
      </c>
      <c r="X118" s="42"/>
      <c r="Y118" s="25" t="s">
        <v>17</v>
      </c>
    </row>
    <row r="119" spans="1:25" ht="13.2">
      <c r="A119" s="20"/>
      <c r="B119" s="338"/>
      <c r="C119" s="336"/>
      <c r="D119" s="30" t="s">
        <v>211</v>
      </c>
      <c r="E119" s="25" t="s">
        <v>17</v>
      </c>
      <c r="F119" s="26" t="str">
        <f t="shared" si="13"/>
        <v>&lt;vul in&gt;</v>
      </c>
      <c r="G119" s="26"/>
      <c r="H119" s="26"/>
      <c r="I119" s="26" t="str">
        <f t="shared" si="14"/>
        <v>&lt;vul in&gt;</v>
      </c>
      <c r="J119" s="26"/>
      <c r="K119" s="26"/>
      <c r="L119" s="26"/>
      <c r="M119" s="26"/>
      <c r="N119" s="26"/>
      <c r="O119" s="26"/>
      <c r="P119" s="26"/>
      <c r="Q119" s="26"/>
      <c r="R119" s="26"/>
      <c r="S119" s="26"/>
      <c r="T119" s="25" t="s">
        <v>186</v>
      </c>
      <c r="U119" s="25" t="s">
        <v>95</v>
      </c>
      <c r="V119" s="26"/>
      <c r="W119" s="25" t="s">
        <v>204</v>
      </c>
      <c r="X119" s="42">
        <v>45958</v>
      </c>
      <c r="Y119" s="25" t="s">
        <v>17</v>
      </c>
    </row>
    <row r="120" spans="1:25" ht="13.2">
      <c r="A120" s="20"/>
      <c r="B120" s="338"/>
      <c r="C120" s="305" t="s">
        <v>216</v>
      </c>
      <c r="D120" s="26" t="s">
        <v>217</v>
      </c>
      <c r="E120" s="25" t="s">
        <v>17</v>
      </c>
      <c r="F120" s="26" t="str">
        <f t="shared" si="13"/>
        <v>&lt;vul in&gt;</v>
      </c>
      <c r="G120" s="26"/>
      <c r="H120" s="26"/>
      <c r="I120" s="26" t="str">
        <f t="shared" si="14"/>
        <v>&lt;vul in&gt;</v>
      </c>
      <c r="J120" s="26"/>
      <c r="K120" s="26"/>
      <c r="L120" s="26"/>
      <c r="M120" s="26"/>
      <c r="N120" s="26"/>
      <c r="O120" s="26"/>
      <c r="P120" s="26"/>
      <c r="Q120" s="26"/>
      <c r="R120" s="26"/>
      <c r="S120" s="26"/>
      <c r="T120" s="25" t="s">
        <v>210</v>
      </c>
      <c r="U120" s="25" t="s">
        <v>23</v>
      </c>
      <c r="V120" s="26"/>
      <c r="W120" s="25"/>
      <c r="X120" s="25"/>
      <c r="Y120" s="25" t="s">
        <v>23</v>
      </c>
    </row>
    <row r="121" spans="1:25" ht="13.2">
      <c r="A121" s="20"/>
      <c r="B121" s="338"/>
      <c r="C121" s="338"/>
      <c r="D121" s="30" t="s">
        <v>221</v>
      </c>
      <c r="E121" s="25" t="s">
        <v>17</v>
      </c>
      <c r="F121" s="26" t="str">
        <f t="shared" si="13"/>
        <v>&lt;vul in&gt;</v>
      </c>
      <c r="G121" s="26"/>
      <c r="H121" s="26"/>
      <c r="I121" s="26" t="str">
        <f t="shared" si="14"/>
        <v>&lt;vul in&gt;</v>
      </c>
      <c r="J121" s="26"/>
      <c r="K121" s="26"/>
      <c r="L121" s="26"/>
      <c r="M121" s="26"/>
      <c r="N121" s="26"/>
      <c r="O121" s="26"/>
      <c r="P121" s="26"/>
      <c r="Q121" s="26"/>
      <c r="R121" s="26"/>
      <c r="S121" s="26"/>
      <c r="T121" s="25" t="s">
        <v>186</v>
      </c>
      <c r="U121" s="25" t="s">
        <v>95</v>
      </c>
      <c r="V121" s="26"/>
      <c r="W121" s="25" t="s">
        <v>204</v>
      </c>
      <c r="X121" s="40">
        <v>45944</v>
      </c>
      <c r="Y121" s="25" t="s">
        <v>17</v>
      </c>
    </row>
    <row r="122" spans="1:25" ht="13.2">
      <c r="A122" s="20"/>
      <c r="B122" s="338"/>
      <c r="C122" s="336"/>
      <c r="D122" s="26" t="s">
        <v>223</v>
      </c>
      <c r="E122" s="25" t="s">
        <v>17</v>
      </c>
      <c r="F122" s="26" t="str">
        <f t="shared" si="13"/>
        <v>&lt;vul in&gt;</v>
      </c>
      <c r="G122" s="26"/>
      <c r="H122" s="26"/>
      <c r="I122" s="26" t="str">
        <f t="shared" si="14"/>
        <v>&lt;vul in&gt;</v>
      </c>
      <c r="J122" s="26"/>
      <c r="K122" s="26"/>
      <c r="L122" s="26"/>
      <c r="M122" s="26"/>
      <c r="N122" s="26"/>
      <c r="O122" s="26"/>
      <c r="P122" s="26"/>
      <c r="Q122" s="26"/>
      <c r="R122" s="26"/>
      <c r="S122" s="26"/>
      <c r="T122" s="25" t="s">
        <v>210</v>
      </c>
      <c r="U122" s="25" t="s">
        <v>23</v>
      </c>
      <c r="V122" s="26"/>
      <c r="W122" s="25"/>
      <c r="X122" s="25"/>
      <c r="Y122" s="25" t="s">
        <v>23</v>
      </c>
    </row>
    <row r="123" spans="1:25" ht="21" customHeight="1">
      <c r="A123" s="20"/>
      <c r="B123" s="338"/>
      <c r="C123" s="319" t="s">
        <v>225</v>
      </c>
      <c r="D123" s="41" t="s">
        <v>226</v>
      </c>
      <c r="E123" s="25" t="s">
        <v>17</v>
      </c>
      <c r="F123" s="26" t="str">
        <f t="shared" si="13"/>
        <v>&lt;vul in&gt;</v>
      </c>
      <c r="G123" s="26"/>
      <c r="H123" s="26"/>
      <c r="I123" s="26" t="str">
        <f t="shared" si="14"/>
        <v>&lt;vul in&gt;</v>
      </c>
      <c r="J123" s="26"/>
      <c r="K123" s="26"/>
      <c r="L123" s="26"/>
      <c r="M123" s="26"/>
      <c r="N123" s="26"/>
      <c r="O123" s="26"/>
      <c r="P123" s="26"/>
      <c r="Q123" s="26"/>
      <c r="R123" s="26"/>
      <c r="S123" s="26"/>
      <c r="T123" s="25" t="s">
        <v>210</v>
      </c>
      <c r="U123" s="25" t="s">
        <v>23</v>
      </c>
      <c r="V123" s="26" t="s">
        <v>228</v>
      </c>
      <c r="W123" s="25" t="s">
        <v>204</v>
      </c>
      <c r="X123" s="42"/>
      <c r="Y123" s="25" t="s">
        <v>17</v>
      </c>
    </row>
    <row r="124" spans="1:25" ht="21" customHeight="1">
      <c r="A124" s="20"/>
      <c r="B124" s="338"/>
      <c r="C124" s="336"/>
      <c r="D124" s="26" t="s">
        <v>230</v>
      </c>
      <c r="E124" s="25" t="s">
        <v>17</v>
      </c>
      <c r="F124" s="26" t="str">
        <f t="shared" si="13"/>
        <v>&lt;vul in&gt;</v>
      </c>
      <c r="G124" s="26"/>
      <c r="H124" s="26"/>
      <c r="I124" s="26" t="str">
        <f t="shared" si="14"/>
        <v>&lt;vul in&gt;</v>
      </c>
      <c r="J124" s="26"/>
      <c r="K124" s="26"/>
      <c r="L124" s="26"/>
      <c r="M124" s="26"/>
      <c r="N124" s="26"/>
      <c r="O124" s="26"/>
      <c r="P124" s="26"/>
      <c r="Q124" s="26"/>
      <c r="R124" s="26"/>
      <c r="S124" s="26"/>
      <c r="T124" s="25" t="s">
        <v>210</v>
      </c>
      <c r="U124" s="25" t="s">
        <v>23</v>
      </c>
      <c r="V124" s="26"/>
      <c r="W124" s="25"/>
      <c r="X124" s="25"/>
      <c r="Y124" s="25" t="s">
        <v>23</v>
      </c>
    </row>
    <row r="125" spans="1:25" ht="13.2">
      <c r="A125" s="20"/>
      <c r="B125" s="338"/>
      <c r="C125" s="319" t="s">
        <v>232</v>
      </c>
      <c r="D125" s="26" t="s">
        <v>233</v>
      </c>
      <c r="E125" s="25" t="s">
        <v>17</v>
      </c>
      <c r="F125" s="26" t="str">
        <f t="shared" si="13"/>
        <v>&lt;vul in&gt;</v>
      </c>
      <c r="G125" s="26"/>
      <c r="H125" s="26"/>
      <c r="I125" s="26" t="str">
        <f t="shared" si="14"/>
        <v>&lt;vul in&gt;</v>
      </c>
      <c r="J125" s="26"/>
      <c r="K125" s="26"/>
      <c r="L125" s="26"/>
      <c r="M125" s="26"/>
      <c r="N125" s="26"/>
      <c r="O125" s="26"/>
      <c r="P125" s="26"/>
      <c r="Q125" s="26"/>
      <c r="R125" s="26"/>
      <c r="S125" s="26"/>
      <c r="T125" s="25" t="s">
        <v>186</v>
      </c>
      <c r="U125" s="25" t="s">
        <v>23</v>
      </c>
      <c r="V125" s="26"/>
      <c r="W125" s="25"/>
      <c r="X125" s="25"/>
      <c r="Y125" s="25" t="s">
        <v>23</v>
      </c>
    </row>
    <row r="126" spans="1:25" ht="13.2">
      <c r="A126" s="20"/>
      <c r="B126" s="336"/>
      <c r="C126" s="336"/>
      <c r="D126" s="26" t="s">
        <v>235</v>
      </c>
      <c r="E126" s="25" t="s">
        <v>17</v>
      </c>
      <c r="F126" s="26" t="str">
        <f t="shared" si="13"/>
        <v>&lt;vul in&gt;</v>
      </c>
      <c r="G126" s="26"/>
      <c r="H126" s="26"/>
      <c r="I126" s="26" t="str">
        <f t="shared" si="14"/>
        <v>&lt;vul in&gt;</v>
      </c>
      <c r="J126" s="26"/>
      <c r="K126" s="26"/>
      <c r="L126" s="26"/>
      <c r="M126" s="26"/>
      <c r="N126" s="26"/>
      <c r="O126" s="26"/>
      <c r="P126" s="26"/>
      <c r="Q126" s="26"/>
      <c r="R126" s="26"/>
      <c r="S126" s="26"/>
      <c r="T126" s="25" t="s">
        <v>210</v>
      </c>
      <c r="U126" s="25" t="s">
        <v>23</v>
      </c>
      <c r="V126" s="26"/>
      <c r="W126" s="25"/>
      <c r="X126" s="25"/>
      <c r="Y126" s="25" t="s">
        <v>23</v>
      </c>
    </row>
    <row r="127" spans="1:25" ht="13.2">
      <c r="A127" s="365" t="s">
        <v>237</v>
      </c>
      <c r="B127" s="332" t="s">
        <v>238</v>
      </c>
      <c r="C127" s="48" t="s">
        <v>239</v>
      </c>
      <c r="D127" s="49" t="s">
        <v>240</v>
      </c>
      <c r="E127" s="50" t="s">
        <v>17</v>
      </c>
      <c r="F127" s="51" t="s">
        <v>184</v>
      </c>
      <c r="G127" s="51" t="s">
        <v>185</v>
      </c>
      <c r="H127" s="51"/>
      <c r="I127" s="51" t="s">
        <v>93</v>
      </c>
      <c r="J127" s="51"/>
      <c r="K127" s="51"/>
      <c r="L127" s="51"/>
      <c r="M127" s="51"/>
      <c r="N127" s="51"/>
      <c r="O127" s="51"/>
      <c r="P127" s="51"/>
      <c r="Q127" s="51"/>
      <c r="R127" s="51" t="s">
        <v>17</v>
      </c>
      <c r="S127" s="51" t="s">
        <v>17</v>
      </c>
      <c r="T127" s="50" t="s">
        <v>186</v>
      </c>
      <c r="U127" s="50" t="s">
        <v>95</v>
      </c>
      <c r="V127" s="51"/>
      <c r="W127" s="50" t="s">
        <v>180</v>
      </c>
      <c r="X127" s="52">
        <v>45944</v>
      </c>
      <c r="Y127" s="50" t="s">
        <v>17</v>
      </c>
    </row>
    <row r="128" spans="1:25" ht="26.4">
      <c r="A128" s="366"/>
      <c r="B128" s="333"/>
      <c r="C128" s="48" t="s">
        <v>239</v>
      </c>
      <c r="D128" s="49" t="s">
        <v>241</v>
      </c>
      <c r="E128" s="50" t="s">
        <v>17</v>
      </c>
      <c r="F128" s="53" t="s">
        <v>242</v>
      </c>
      <c r="G128" s="51" t="s">
        <v>243</v>
      </c>
      <c r="H128" s="51"/>
      <c r="I128" s="51" t="s">
        <v>93</v>
      </c>
      <c r="J128" s="51"/>
      <c r="K128" s="51"/>
      <c r="L128" s="51"/>
      <c r="M128" s="51"/>
      <c r="N128" s="51"/>
      <c r="O128" s="51"/>
      <c r="P128" s="51"/>
      <c r="Q128" s="51"/>
      <c r="R128" s="51" t="s">
        <v>17</v>
      </c>
      <c r="S128" s="51" t="s">
        <v>17</v>
      </c>
      <c r="T128" s="50" t="s">
        <v>186</v>
      </c>
      <c r="U128" s="50" t="s">
        <v>95</v>
      </c>
      <c r="V128" s="51"/>
      <c r="W128" s="50" t="s">
        <v>180</v>
      </c>
      <c r="X128" s="52">
        <v>45944</v>
      </c>
      <c r="Y128" s="50" t="s">
        <v>17</v>
      </c>
    </row>
    <row r="129" spans="1:25" ht="26.4">
      <c r="A129" s="366"/>
      <c r="B129" s="333"/>
      <c r="C129" s="48" t="s">
        <v>244</v>
      </c>
      <c r="D129" s="49" t="s">
        <v>245</v>
      </c>
      <c r="E129" s="50" t="s">
        <v>17</v>
      </c>
      <c r="F129" s="51" t="str">
        <f>IF(E129="Nee","-","&lt;vul in&gt;")</f>
        <v>&lt;vul in&gt;</v>
      </c>
      <c r="G129" s="51" t="s">
        <v>246</v>
      </c>
      <c r="H129" s="51"/>
      <c r="I129" s="51" t="s">
        <v>93</v>
      </c>
      <c r="J129" s="51"/>
      <c r="K129" s="51"/>
      <c r="L129" s="51"/>
      <c r="M129" s="51"/>
      <c r="N129" s="51"/>
      <c r="O129" s="51"/>
      <c r="P129" s="51"/>
      <c r="Q129" s="51"/>
      <c r="R129" s="51" t="s">
        <v>38</v>
      </c>
      <c r="S129" s="51" t="s">
        <v>23</v>
      </c>
      <c r="T129" s="50" t="s">
        <v>186</v>
      </c>
      <c r="U129" s="50" t="s">
        <v>95</v>
      </c>
      <c r="V129" s="51"/>
      <c r="W129" s="50" t="s">
        <v>180</v>
      </c>
      <c r="X129" s="52">
        <v>45944</v>
      </c>
      <c r="Y129" s="50" t="s">
        <v>17</v>
      </c>
    </row>
    <row r="130" spans="1:25" ht="26.4">
      <c r="A130" s="366"/>
      <c r="B130" s="333"/>
      <c r="C130" s="48" t="s">
        <v>28</v>
      </c>
      <c r="D130" s="49" t="s">
        <v>247</v>
      </c>
      <c r="E130" s="50" t="s">
        <v>17</v>
      </c>
      <c r="F130" s="53" t="s">
        <v>248</v>
      </c>
      <c r="G130" s="51" t="s">
        <v>249</v>
      </c>
      <c r="H130" s="51"/>
      <c r="I130" s="51" t="s">
        <v>18</v>
      </c>
      <c r="J130" s="51"/>
      <c r="K130" s="51"/>
      <c r="L130" s="51"/>
      <c r="M130" s="51"/>
      <c r="N130" s="51"/>
      <c r="O130" s="51"/>
      <c r="P130" s="51"/>
      <c r="Q130" s="51"/>
      <c r="R130" s="51" t="s">
        <v>38</v>
      </c>
      <c r="S130" s="51" t="s">
        <v>18</v>
      </c>
      <c r="T130" s="50" t="s">
        <v>186</v>
      </c>
      <c r="U130" s="50" t="s">
        <v>95</v>
      </c>
      <c r="V130" s="51"/>
      <c r="W130" s="50" t="s">
        <v>180</v>
      </c>
      <c r="X130" s="52">
        <v>45944</v>
      </c>
      <c r="Y130" s="50" t="s">
        <v>17</v>
      </c>
    </row>
    <row r="131" spans="1:25" ht="39.6">
      <c r="A131" s="366"/>
      <c r="B131" s="333"/>
      <c r="C131" s="48" t="s">
        <v>26</v>
      </c>
      <c r="D131" s="54" t="s">
        <v>250</v>
      </c>
      <c r="E131" s="50" t="s">
        <v>17</v>
      </c>
      <c r="F131" s="51">
        <v>2024</v>
      </c>
      <c r="G131" s="51" t="s">
        <v>251</v>
      </c>
      <c r="H131" s="51"/>
      <c r="I131" s="51" t="s">
        <v>93</v>
      </c>
      <c r="J131" s="51"/>
      <c r="K131" s="51"/>
      <c r="L131" s="51"/>
      <c r="M131" s="51"/>
      <c r="N131" s="51"/>
      <c r="O131" s="51"/>
      <c r="P131" s="51"/>
      <c r="Q131" s="51"/>
      <c r="R131" s="51" t="s">
        <v>38</v>
      </c>
      <c r="S131" s="51" t="s">
        <v>23</v>
      </c>
      <c r="T131" s="50" t="s">
        <v>186</v>
      </c>
      <c r="U131" s="50" t="s">
        <v>17</v>
      </c>
      <c r="V131" s="51"/>
      <c r="W131" s="50" t="s">
        <v>180</v>
      </c>
      <c r="X131" s="55">
        <v>45951</v>
      </c>
      <c r="Y131" s="50" t="s">
        <v>17</v>
      </c>
    </row>
    <row r="132" spans="1:25" ht="13.2">
      <c r="A132" s="366"/>
      <c r="B132" s="369"/>
      <c r="C132" s="48" t="s">
        <v>28</v>
      </c>
      <c r="D132" s="51" t="s">
        <v>252</v>
      </c>
      <c r="E132" s="50" t="s">
        <v>23</v>
      </c>
      <c r="F132" s="51"/>
      <c r="G132" s="51"/>
      <c r="H132" s="51"/>
      <c r="I132" s="51"/>
      <c r="J132" s="51"/>
      <c r="K132" s="51"/>
      <c r="L132" s="51"/>
      <c r="M132" s="51"/>
      <c r="N132" s="51"/>
      <c r="O132" s="51"/>
      <c r="P132" s="51"/>
      <c r="Q132" s="51"/>
      <c r="R132" s="51" t="s">
        <v>23</v>
      </c>
      <c r="S132" s="51" t="s">
        <v>94</v>
      </c>
      <c r="T132" s="50"/>
      <c r="U132" s="56" t="s">
        <v>23</v>
      </c>
      <c r="V132" s="51"/>
      <c r="W132" s="50" t="s">
        <v>180</v>
      </c>
      <c r="X132" s="55"/>
      <c r="Y132" s="50" t="s">
        <v>23</v>
      </c>
    </row>
    <row r="133" spans="1:25" ht="13.2">
      <c r="A133" s="20"/>
      <c r="B133" s="296" t="s">
        <v>254</v>
      </c>
      <c r="C133" s="305" t="s">
        <v>255</v>
      </c>
      <c r="D133" s="44" t="s">
        <v>202</v>
      </c>
      <c r="E133" s="43" t="s">
        <v>17</v>
      </c>
      <c r="F133" s="26"/>
      <c r="G133" s="26"/>
      <c r="H133" s="26"/>
      <c r="I133" s="26"/>
      <c r="J133" s="26"/>
      <c r="K133" s="26"/>
      <c r="L133" s="26"/>
      <c r="M133" s="26"/>
      <c r="N133" s="26"/>
      <c r="O133" s="26"/>
      <c r="P133" s="26"/>
      <c r="Q133" s="26"/>
      <c r="R133" s="26"/>
      <c r="S133" s="26"/>
      <c r="T133" s="25"/>
      <c r="U133" s="25" t="s">
        <v>17</v>
      </c>
      <c r="V133" s="26"/>
      <c r="W133" s="25" t="s">
        <v>180</v>
      </c>
      <c r="X133" s="42">
        <v>45958</v>
      </c>
      <c r="Y133" s="25" t="s">
        <v>17</v>
      </c>
    </row>
    <row r="134" spans="1:25" ht="25.5" customHeight="1">
      <c r="A134" s="20"/>
      <c r="B134" s="328"/>
      <c r="C134" s="367"/>
      <c r="D134" s="26" t="s">
        <v>256</v>
      </c>
      <c r="E134" s="25" t="s">
        <v>257</v>
      </c>
      <c r="F134" s="26" t="str">
        <f t="shared" ref="F134:F135" si="17">IF(E134="Nee","-","&lt;vul in&gt;")</f>
        <v>&lt;vul in&gt;</v>
      </c>
      <c r="G134" s="26"/>
      <c r="H134" s="26"/>
      <c r="I134" s="26" t="str">
        <f t="shared" ref="I134:I135" si="18">IF(E134="Nee","-","&lt;vul in&gt;")</f>
        <v>&lt;vul in&gt;</v>
      </c>
      <c r="J134" s="26"/>
      <c r="K134" s="26"/>
      <c r="L134" s="26"/>
      <c r="M134" s="26"/>
      <c r="N134" s="26"/>
      <c r="O134" s="26"/>
      <c r="P134" s="26"/>
      <c r="Q134" s="26"/>
      <c r="R134" s="26"/>
      <c r="S134" s="26"/>
      <c r="T134" s="25"/>
      <c r="U134" s="25" t="s">
        <v>95</v>
      </c>
      <c r="V134" s="45" t="s">
        <v>382</v>
      </c>
      <c r="W134" s="25" t="s">
        <v>180</v>
      </c>
      <c r="X134" s="42"/>
      <c r="Y134" s="25" t="s">
        <v>205</v>
      </c>
    </row>
    <row r="135" spans="1:25" ht="13.2">
      <c r="A135" s="20"/>
      <c r="B135" s="328"/>
      <c r="C135" s="305" t="s">
        <v>259</v>
      </c>
      <c r="D135" s="30" t="s">
        <v>260</v>
      </c>
      <c r="E135" s="25" t="s">
        <v>17</v>
      </c>
      <c r="F135" s="26" t="str">
        <f t="shared" si="17"/>
        <v>&lt;vul in&gt;</v>
      </c>
      <c r="G135" s="26"/>
      <c r="H135" s="26"/>
      <c r="I135" s="26" t="str">
        <f t="shared" si="18"/>
        <v>&lt;vul in&gt;</v>
      </c>
      <c r="J135" s="26"/>
      <c r="K135" s="26"/>
      <c r="L135" s="26"/>
      <c r="M135" s="26"/>
      <c r="N135" s="26"/>
      <c r="O135" s="26"/>
      <c r="P135" s="26"/>
      <c r="Q135" s="26"/>
      <c r="R135" s="26"/>
      <c r="S135" s="26"/>
      <c r="T135" s="25" t="s">
        <v>262</v>
      </c>
      <c r="U135" s="25" t="s">
        <v>17</v>
      </c>
      <c r="V135" s="26" t="s">
        <v>383</v>
      </c>
      <c r="W135" s="25" t="s">
        <v>180</v>
      </c>
      <c r="X135" s="42">
        <v>45958</v>
      </c>
      <c r="Y135" s="25" t="s">
        <v>17</v>
      </c>
    </row>
    <row r="136" spans="1:25" ht="13.2">
      <c r="A136" s="20"/>
      <c r="B136" s="328"/>
      <c r="C136" s="338"/>
      <c r="D136" s="41" t="s">
        <v>263</v>
      </c>
      <c r="E136" s="25" t="s">
        <v>17</v>
      </c>
      <c r="F136" s="26"/>
      <c r="G136" s="26"/>
      <c r="H136" s="26"/>
      <c r="I136" s="26"/>
      <c r="J136" s="26"/>
      <c r="K136" s="26"/>
      <c r="L136" s="26"/>
      <c r="M136" s="26"/>
      <c r="N136" s="26"/>
      <c r="O136" s="26"/>
      <c r="P136" s="26"/>
      <c r="Q136" s="26"/>
      <c r="R136" s="26"/>
      <c r="S136" s="26"/>
      <c r="T136" s="25" t="s">
        <v>262</v>
      </c>
      <c r="U136" s="25" t="s">
        <v>17</v>
      </c>
      <c r="V136" s="26" t="s">
        <v>383</v>
      </c>
      <c r="W136" s="25" t="s">
        <v>180</v>
      </c>
      <c r="X136" s="42">
        <v>45958</v>
      </c>
      <c r="Y136" s="25" t="s">
        <v>17</v>
      </c>
    </row>
    <row r="137" spans="1:25" ht="13.2">
      <c r="A137" s="20"/>
      <c r="B137" s="328"/>
      <c r="C137" s="336"/>
      <c r="D137" s="26" t="s">
        <v>265</v>
      </c>
      <c r="E137" s="25" t="s">
        <v>17</v>
      </c>
      <c r="F137" s="26"/>
      <c r="G137" s="26"/>
      <c r="H137" s="26"/>
      <c r="I137" s="26"/>
      <c r="J137" s="26"/>
      <c r="K137" s="26"/>
      <c r="L137" s="26"/>
      <c r="M137" s="26"/>
      <c r="N137" s="26"/>
      <c r="O137" s="26"/>
      <c r="P137" s="26"/>
      <c r="Q137" s="26"/>
      <c r="R137" s="26"/>
      <c r="S137" s="26"/>
      <c r="T137" s="25" t="s">
        <v>275</v>
      </c>
      <c r="U137" s="25" t="s">
        <v>23</v>
      </c>
      <c r="V137" s="26"/>
      <c r="W137" s="25"/>
      <c r="X137" s="25"/>
      <c r="Y137" s="25" t="s">
        <v>17</v>
      </c>
    </row>
    <row r="138" spans="1:25" ht="13.2">
      <c r="A138" s="20"/>
      <c r="B138" s="328"/>
      <c r="C138" s="305" t="s">
        <v>270</v>
      </c>
      <c r="D138" s="30" t="s">
        <v>271</v>
      </c>
      <c r="E138" s="25" t="s">
        <v>17</v>
      </c>
      <c r="F138" s="26" t="str">
        <f>IF(E138="Nee","-","&lt;vul in&gt;")</f>
        <v>&lt;vul in&gt;</v>
      </c>
      <c r="G138" s="26"/>
      <c r="H138" s="26"/>
      <c r="I138" s="26" t="str">
        <f>IF(E138="Nee","-","&lt;vul in&gt;")</f>
        <v>&lt;vul in&gt;</v>
      </c>
      <c r="J138" s="26"/>
      <c r="K138" s="26"/>
      <c r="L138" s="26"/>
      <c r="M138" s="26"/>
      <c r="N138" s="26"/>
      <c r="O138" s="26"/>
      <c r="P138" s="26"/>
      <c r="Q138" s="26"/>
      <c r="R138" s="26"/>
      <c r="S138" s="26"/>
      <c r="T138" s="25" t="s">
        <v>210</v>
      </c>
      <c r="U138" s="25" t="s">
        <v>95</v>
      </c>
      <c r="V138" s="26" t="s">
        <v>383</v>
      </c>
      <c r="W138" s="25" t="s">
        <v>180</v>
      </c>
      <c r="X138" s="40">
        <v>45944</v>
      </c>
      <c r="Y138" s="25" t="s">
        <v>17</v>
      </c>
    </row>
    <row r="139" spans="1:25" ht="26.4">
      <c r="A139" s="20"/>
      <c r="B139" s="328"/>
      <c r="C139" s="338"/>
      <c r="D139" s="41" t="s">
        <v>272</v>
      </c>
      <c r="E139" s="25" t="s">
        <v>257</v>
      </c>
      <c r="F139" s="26"/>
      <c r="G139" s="26"/>
      <c r="H139" s="26"/>
      <c r="I139" s="26"/>
      <c r="J139" s="26"/>
      <c r="K139" s="26"/>
      <c r="L139" s="26"/>
      <c r="M139" s="26"/>
      <c r="N139" s="26"/>
      <c r="O139" s="26"/>
      <c r="P139" s="26"/>
      <c r="Q139" s="26"/>
      <c r="R139" s="26"/>
      <c r="S139" s="26"/>
      <c r="T139" s="25" t="s">
        <v>18</v>
      </c>
      <c r="U139" s="25" t="s">
        <v>17</v>
      </c>
      <c r="V139" s="26" t="s">
        <v>383</v>
      </c>
      <c r="W139" s="25" t="s">
        <v>180</v>
      </c>
      <c r="X139" s="42"/>
      <c r="Y139" s="25" t="s">
        <v>23</v>
      </c>
    </row>
    <row r="140" spans="1:25" ht="13.2">
      <c r="A140" s="20"/>
      <c r="B140" s="328"/>
      <c r="C140" s="338"/>
      <c r="D140" s="26" t="s">
        <v>273</v>
      </c>
      <c r="E140" s="25" t="s">
        <v>257</v>
      </c>
      <c r="F140" s="26"/>
      <c r="G140" s="26"/>
      <c r="H140" s="26"/>
      <c r="I140" s="26"/>
      <c r="J140" s="26"/>
      <c r="K140" s="26"/>
      <c r="L140" s="26"/>
      <c r="M140" s="26"/>
      <c r="N140" s="26"/>
      <c r="O140" s="26"/>
      <c r="P140" s="26"/>
      <c r="Q140" s="26"/>
      <c r="R140" s="26"/>
      <c r="S140" s="26"/>
      <c r="T140" s="25" t="s">
        <v>18</v>
      </c>
      <c r="U140" s="25" t="s">
        <v>17</v>
      </c>
      <c r="V140" s="26" t="s">
        <v>383</v>
      </c>
      <c r="W140" s="25" t="s">
        <v>180</v>
      </c>
      <c r="X140" s="42"/>
      <c r="Y140" s="25" t="s">
        <v>23</v>
      </c>
    </row>
    <row r="141" spans="1:25" ht="13.2">
      <c r="A141" s="20"/>
      <c r="B141" s="328"/>
      <c r="C141" s="336"/>
      <c r="D141" s="26" t="s">
        <v>274</v>
      </c>
      <c r="E141" s="25" t="s">
        <v>23</v>
      </c>
      <c r="F141" s="26"/>
      <c r="G141" s="26"/>
      <c r="H141" s="26"/>
      <c r="I141" s="26"/>
      <c r="J141" s="26"/>
      <c r="K141" s="26"/>
      <c r="L141" s="26"/>
      <c r="M141" s="26"/>
      <c r="N141" s="26"/>
      <c r="O141" s="26"/>
      <c r="P141" s="26"/>
      <c r="Q141" s="26"/>
      <c r="R141" s="26"/>
      <c r="S141" s="26"/>
      <c r="T141" s="25" t="s">
        <v>275</v>
      </c>
      <c r="U141" s="25" t="s">
        <v>23</v>
      </c>
      <c r="V141" s="26"/>
      <c r="W141" s="25"/>
      <c r="X141" s="25"/>
      <c r="Y141" s="25"/>
    </row>
    <row r="142" spans="1:25" ht="13.2">
      <c r="A142" s="20"/>
      <c r="B142" s="297"/>
      <c r="C142" s="27" t="s">
        <v>276</v>
      </c>
      <c r="D142" s="26" t="s">
        <v>277</v>
      </c>
      <c r="E142" s="25" t="s">
        <v>17</v>
      </c>
      <c r="F142" s="26" t="s">
        <v>278</v>
      </c>
      <c r="G142" s="26" t="s">
        <v>234</v>
      </c>
      <c r="H142" s="26"/>
      <c r="I142" s="26" t="s">
        <v>93</v>
      </c>
      <c r="J142" s="26"/>
      <c r="K142" s="26"/>
      <c r="L142" s="26"/>
      <c r="M142" s="26"/>
      <c r="N142" s="26"/>
      <c r="O142" s="26"/>
      <c r="P142" s="26"/>
      <c r="Q142" s="26"/>
      <c r="R142" s="26" t="s">
        <v>23</v>
      </c>
      <c r="S142" s="26" t="s">
        <v>94</v>
      </c>
      <c r="T142" s="25" t="s">
        <v>262</v>
      </c>
      <c r="U142" s="25" t="s">
        <v>17</v>
      </c>
      <c r="V142" s="26"/>
      <c r="W142" s="25" t="s">
        <v>180</v>
      </c>
      <c r="X142" s="42"/>
      <c r="Y142" s="25" t="s">
        <v>23</v>
      </c>
    </row>
    <row r="143" spans="1:25" ht="13.2">
      <c r="A143" s="20"/>
      <c r="B143" s="25"/>
      <c r="D143" s="26"/>
      <c r="E143" s="25"/>
      <c r="F143" s="26" t="str">
        <f t="shared" ref="F143:F144" si="19">IF(E143="Nee","-","&lt;vul in&gt;")</f>
        <v>&lt;vul in&gt;</v>
      </c>
      <c r="G143" s="26"/>
      <c r="H143" s="26"/>
      <c r="I143" s="26" t="str">
        <f t="shared" ref="I143:I144" si="20">IF(E143="Nee","-","&lt;vul in&gt;")</f>
        <v>&lt;vul in&gt;</v>
      </c>
      <c r="J143" s="26"/>
      <c r="K143" s="26"/>
      <c r="L143" s="26"/>
      <c r="M143" s="26"/>
      <c r="N143" s="26"/>
      <c r="O143" s="26"/>
      <c r="P143" s="26"/>
      <c r="Q143" s="26"/>
      <c r="R143" s="26"/>
      <c r="S143" s="26"/>
      <c r="T143" s="25"/>
      <c r="U143" s="25"/>
      <c r="V143" s="26"/>
      <c r="W143" s="25"/>
      <c r="X143" s="25"/>
      <c r="Y143" s="25"/>
    </row>
    <row r="144" spans="1:25" ht="13.2">
      <c r="A144" s="20"/>
      <c r="B144" s="25"/>
      <c r="C144" s="26"/>
      <c r="D144" s="26"/>
      <c r="E144" s="25"/>
      <c r="F144" s="26" t="str">
        <f t="shared" si="19"/>
        <v>&lt;vul in&gt;</v>
      </c>
      <c r="G144" s="26"/>
      <c r="H144" s="26"/>
      <c r="I144" s="26" t="str">
        <f t="shared" si="20"/>
        <v>&lt;vul in&gt;</v>
      </c>
      <c r="J144" s="26"/>
      <c r="K144" s="26"/>
      <c r="L144" s="26"/>
      <c r="M144" s="26"/>
      <c r="N144" s="26"/>
      <c r="O144" s="26"/>
      <c r="P144" s="26"/>
      <c r="Q144" s="26"/>
      <c r="R144" s="26"/>
      <c r="S144" s="26"/>
      <c r="T144" s="25"/>
      <c r="U144" s="25"/>
      <c r="V144" s="26"/>
      <c r="W144" s="25"/>
      <c r="X144" s="25"/>
      <c r="Y144" s="25"/>
    </row>
  </sheetData>
  <mergeCells count="46">
    <mergeCell ref="B133:B142"/>
    <mergeCell ref="C133:C134"/>
    <mergeCell ref="B4:B32"/>
    <mergeCell ref="B33:B58"/>
    <mergeCell ref="B59:B83"/>
    <mergeCell ref="B84:B107"/>
    <mergeCell ref="B108:B116"/>
    <mergeCell ref="B117:B126"/>
    <mergeCell ref="B127:B132"/>
    <mergeCell ref="C25:C30"/>
    <mergeCell ref="C34:C37"/>
    <mergeCell ref="C38:C43"/>
    <mergeCell ref="C44:C46"/>
    <mergeCell ref="C60:C63"/>
    <mergeCell ref="C64:C67"/>
    <mergeCell ref="C71:C73"/>
    <mergeCell ref="C74:C77"/>
    <mergeCell ref="C108:C109"/>
    <mergeCell ref="C110:C112"/>
    <mergeCell ref="A127:A132"/>
    <mergeCell ref="C9:C14"/>
    <mergeCell ref="C15:C17"/>
    <mergeCell ref="C18:C20"/>
    <mergeCell ref="C21:C24"/>
    <mergeCell ref="C68:C70"/>
    <mergeCell ref="V26:V30"/>
    <mergeCell ref="U33:U58"/>
    <mergeCell ref="C54:C58"/>
    <mergeCell ref="C47:C49"/>
    <mergeCell ref="C50:C53"/>
    <mergeCell ref="J1:Q1"/>
    <mergeCell ref="C123:C124"/>
    <mergeCell ref="C125:C126"/>
    <mergeCell ref="C135:C137"/>
    <mergeCell ref="C138:C141"/>
    <mergeCell ref="C78:C83"/>
    <mergeCell ref="C85:C88"/>
    <mergeCell ref="C89:C92"/>
    <mergeCell ref="C93:C95"/>
    <mergeCell ref="C96:C98"/>
    <mergeCell ref="C99:C102"/>
    <mergeCell ref="C103:C107"/>
    <mergeCell ref="C120:C122"/>
    <mergeCell ref="C117:C119"/>
    <mergeCell ref="C113:C115"/>
    <mergeCell ref="C5:C8"/>
  </mergeCells>
  <conditionalFormatting sqref="E1:E1120 Y3:Y144">
    <cfRule type="containsText" dxfId="14" priority="2" operator="containsText" text="Ja">
      <formula>NOT(ISERROR(SEARCH(("Ja"),(E1))))</formula>
    </cfRule>
    <cfRule type="containsText" dxfId="13" priority="3" operator="containsText" text="Nee">
      <formula>NOT(ISERROR(SEARCH(("Nee"),(E1))))</formula>
    </cfRule>
  </conditionalFormatting>
  <conditionalFormatting sqref="E1:E1120">
    <cfRule type="cellIs" dxfId="12" priority="10" operator="equal">
      <formula>"Via andere grondstof"</formula>
    </cfRule>
    <cfRule type="cellIs" dxfId="11" priority="13" operator="equal">
      <formula>"Oppervlakkig"</formula>
    </cfRule>
  </conditionalFormatting>
  <conditionalFormatting sqref="F1:F14 F32:F67 F84:F1120 D132">
    <cfRule type="cellIs" dxfId="10" priority="8" operator="equal">
      <formula>"nvt"</formula>
    </cfRule>
  </conditionalFormatting>
  <conditionalFormatting sqref="G1:J1 G2:Q14 F5:F14 L15:L18 G15:G31 I15:I31 L21 L28 G32:Q58 F32:F67 G59:N67 Q59:Q67 G68:G84 I68:I84 M71:M75 L76:Q84 G85:Q117 F90:F117 F118:Q118 F119:F144 G119:Q259 D132 G260 I260:Q260 G261:Q1120">
    <cfRule type="cellIs" dxfId="9" priority="4" operator="equal">
      <formula>"Betrouwbaar"</formula>
    </cfRule>
  </conditionalFormatting>
  <conditionalFormatting sqref="R1:R1120">
    <cfRule type="cellIs" dxfId="8" priority="5" operator="equal">
      <formula>"Nee"</formula>
    </cfRule>
  </conditionalFormatting>
  <conditionalFormatting sqref="S1 R1:R110 S3:S110 R111:S1120">
    <cfRule type="cellIs" dxfId="7" priority="6" operator="equal">
      <formula>"mogelijk"</formula>
    </cfRule>
    <cfRule type="cellIs" dxfId="6" priority="7" operator="equal">
      <formula>"Ja"</formula>
    </cfRule>
  </conditionalFormatting>
  <conditionalFormatting sqref="S1:S1120">
    <cfRule type="cellIs" dxfId="5" priority="9" operator="equal">
      <formula>"nvt"</formula>
    </cfRule>
  </conditionalFormatting>
  <conditionalFormatting sqref="S3:S1120">
    <cfRule type="cellIs" dxfId="4" priority="14" operator="equal">
      <formula>"Nee"</formula>
    </cfRule>
  </conditionalFormatting>
  <conditionalFormatting sqref="U1:U1120">
    <cfRule type="cellIs" dxfId="3" priority="11" operator="equal">
      <formula>"Ja"</formula>
    </cfRule>
    <cfRule type="cellIs" dxfId="2" priority="12" operator="equal">
      <formula>"Gold"</formula>
    </cfRule>
    <cfRule type="cellIs" dxfId="1" priority="15" operator="equal">
      <formula>"Nee"</formula>
    </cfRule>
  </conditionalFormatting>
  <conditionalFormatting sqref="U1:U1048576">
    <cfRule type="beginsWith" dxfId="0" priority="1" operator="beginsWith" text="Gold">
      <formula>LEFT(U1,LEN("Gold"))="Gold"</formula>
    </cfRule>
  </conditionalFormatting>
  <hyperlinks>
    <hyperlink ref="G19" r:id="rId1" xr:uid="{00000000-0004-0000-0200-000000000000}"/>
    <hyperlink ref="V26" r:id="rId2" xr:uid="{00000000-0004-0000-0200-000001000000}"/>
    <hyperlink ref="G75" r:id="rId3" location="/app/topCountriesByCommodity" xr:uid="{00000000-0004-0000-0200-000002000000}"/>
    <hyperlink ref="G76" r:id="rId4" xr:uid="{00000000-0004-0000-0200-000003000000}"/>
    <hyperlink ref="H20" r:id="rId5" xr:uid="{18FF891D-0E42-4D65-9CC3-BD53D738323A}"/>
    <hyperlink ref="H24" r:id="rId6" display="https://stat.unido.org/data/table" xr:uid="{013B03A2-5ECB-46EF-B3B4-58714FC9EF8E}"/>
    <hyperlink ref="H26" r:id="rId7" xr:uid="{C21D3B55-70D5-49C2-97F9-0EF95EAB092E}"/>
    <hyperlink ref="H27" r:id="rId8" display="https://fred.stlouisfed.org/series/WPU072205011" xr:uid="{67996609-8EB3-4510-96FC-0DBAFE1484BF}"/>
    <hyperlink ref="H29" r:id="rId9" display="https://fred.stlouisfed.org/series/PCU325211325211" xr:uid="{9A611D40-9345-46E7-A6AE-E341E1380B14}"/>
    <hyperlink ref="H30" r:id="rId10" display="https://fred.stlouisfed.org/series/WPU072106033" xr:uid="{F42B621E-F1DF-4588-8E55-3F3204EDC577}"/>
    <hyperlink ref="H31" r:id="rId11" display="https://fred.stlouisfed.org/series/WPU09150731" xr:uid="{9CA8DD43-278F-4CB4-B547-D36D09CF69F7}"/>
    <hyperlink ref="H68" r:id="rId12" xr:uid="{F1684547-C9CF-4360-A962-4C3A65C9E955}"/>
    <hyperlink ref="H69" r:id="rId13" xr:uid="{22D0F7BE-EA79-496A-9144-7198E4EF713E}"/>
    <hyperlink ref="H70" r:id="rId14" location="explore-data-on-metals-and-minerals" display="https://ourworldindata.org/metals-minerals - explore-data-on-metals-and-minerals" xr:uid="{1E90551E-1078-4A01-82B7-99C13C6E12AC}"/>
    <hyperlink ref="H71" r:id="rId15" xr:uid="{D96763E6-3033-42A4-94AF-27CC20F8C815}"/>
    <hyperlink ref="H72" r:id="rId16" xr:uid="{34D4423C-C559-48A2-BCC7-4D307B4372B5}"/>
    <hyperlink ref="H73" r:id="rId17" display="https://comtradeplus.un.org/TradeFlow" xr:uid="{C2D098F3-152E-4486-A88D-49173F0D07EC}"/>
    <hyperlink ref="H74" r:id="rId18" xr:uid="{AA350D2B-6EF1-4C28-AEAF-9FD50F94619E}"/>
    <hyperlink ref="H75" r:id="rId19" xr:uid="{F30F6A07-C1DF-44DA-81DE-FD0FA31513BC}"/>
    <hyperlink ref="H76" r:id="rId20" display="https://icac.shinyapps.io/ICAC_Open_Data_Dashboaard/" xr:uid="{B55CA116-2088-4EE9-90DB-D096818DD28B}"/>
    <hyperlink ref="H77" r:id="rId21" location="home" display="https://www.fao.org/faostat/en/ - home" xr:uid="{6A03A14C-18AA-4AAA-A1B0-37C80769010D}"/>
    <hyperlink ref="H78" r:id="rId22" display="https://plasticseurope.org/wp-content/uploads/2025/09/PE_TheFacts_25_digital-1pager-scrollable.pdf" xr:uid="{4FB99EAD-9687-4C60-A8D2-ACB307D78805}"/>
    <hyperlink ref="H79" r:id="rId23" display="https://comtradeplus.un.org/TradeFlow" xr:uid="{729D3596-C3B8-4319-9AE0-3B4634772513}"/>
    <hyperlink ref="H80" r:id="rId24" display="https://comtradeplus.un.org/TradeFlow" xr:uid="{DE4D003D-E6A5-4BB5-B2E0-EEC49A1B35FF}"/>
    <hyperlink ref="H82" r:id="rId25" display="https://www.polyglobe.net/_g/pdf/polyglobe/ePaper/Poster_2021/" xr:uid="{CA02CAE4-4267-4CEB-9F71-1EE16CB43FB7}"/>
    <hyperlink ref="H83" r:id="rId26" display="https://comtradeplus.un.org/TradeFlow" xr:uid="{CB334B99-8B47-4843-BA94-2FBAB89A1536}"/>
    <hyperlink ref="H19" r:id="rId27" display="https://fred.stlouisfed.org/series/WPU07260305" xr:uid="{4ABF10EE-6735-4E1F-B2F1-C5C82C2833BA}"/>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3763a1d-3ef6-4dac-84db-711c24c3571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E32BC299DDA75418A481CE8C1C04767" ma:contentTypeVersion="10" ma:contentTypeDescription="Een nieuw document maken." ma:contentTypeScope="" ma:versionID="0fa4796f6798a7b079311364fca30a32">
  <xsd:schema xmlns:xsd="http://www.w3.org/2001/XMLSchema" xmlns:xs="http://www.w3.org/2001/XMLSchema" xmlns:p="http://schemas.microsoft.com/office/2006/metadata/properties" xmlns:ns2="03763a1d-3ef6-4dac-84db-711c24c35716" targetNamespace="http://schemas.microsoft.com/office/2006/metadata/properties" ma:root="true" ma:fieldsID="ccd651f340b356ff6f610107a3061652" ns2:_="">
    <xsd:import namespace="03763a1d-3ef6-4dac-84db-711c24c357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63a1d-3ef6-4dac-84db-711c24c357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2d39682-ccf7-48d8-962f-2ca2d3d56b7f"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FC3A6B-F3D8-4BAB-ADCD-470806C7FA83}">
  <ds:schemaRefs>
    <ds:schemaRef ds:uri="http://schemas.microsoft.com/sharepoint/v3/contenttype/forms"/>
  </ds:schemaRefs>
</ds:datastoreItem>
</file>

<file path=customXml/itemProps2.xml><?xml version="1.0" encoding="utf-8"?>
<ds:datastoreItem xmlns:ds="http://schemas.openxmlformats.org/officeDocument/2006/customXml" ds:itemID="{9B2F9337-87C9-43EE-A3B8-53FA23CBA0CB}">
  <ds:schemaRefs>
    <ds:schemaRef ds:uri="http://www.w3.org/XML/1998/namespace"/>
    <ds:schemaRef ds:uri="http://purl.org/dc/elements/1.1/"/>
    <ds:schemaRef ds:uri="c06bbeb1-ee96-4072-827b-f858567e0850"/>
    <ds:schemaRef ds:uri="http://schemas.openxmlformats.org/package/2006/metadata/core-properties"/>
    <ds:schemaRef ds:uri="http://schemas.microsoft.com/office/2006/documentManagement/types"/>
    <ds:schemaRef ds:uri="http://purl.org/dc/dcmitype/"/>
    <ds:schemaRef ds:uri="fc9d1558-6411-4b82-ba97-9ce7a3dab99f"/>
    <ds:schemaRef ds:uri="http://schemas.microsoft.com/office/2006/metadata/properties"/>
    <ds:schemaRef ds:uri="http://schemas.microsoft.com/office/infopath/2007/PartnerControls"/>
    <ds:schemaRef ds:uri="http://purl.org/dc/terms/"/>
    <ds:schemaRef ds:uri="03763a1d-3ef6-4dac-84db-711c24c35716"/>
  </ds:schemaRefs>
</ds:datastoreItem>
</file>

<file path=customXml/itemProps3.xml><?xml version="1.0" encoding="utf-8"?>
<ds:datastoreItem xmlns:ds="http://schemas.openxmlformats.org/officeDocument/2006/customXml" ds:itemID="{129E9417-0AA3-48C5-9120-B4CEE9FAE9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63a1d-3ef6-4dac-84db-711c24c357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Factoren ex vragen</vt:lpstr>
      <vt:lpstr>Factoren incl vragen</vt:lpstr>
      <vt:lpstr>FLIM DQS</vt:lpstr>
      <vt:lpstr>Data per factor (incl kwal)</vt:lpstr>
      <vt:lpstr>Hiaten</vt:lpstr>
      <vt:lpstr>Data per factor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Pieter</dc:creator>
  <cp:keywords/>
  <dc:description/>
  <cp:lastModifiedBy>Pieter Bons</cp:lastModifiedBy>
  <cp:revision/>
  <dcterms:created xsi:type="dcterms:W3CDTF">2025-10-28T07:09:17Z</dcterms:created>
  <dcterms:modified xsi:type="dcterms:W3CDTF">2026-02-27T14:12:02Z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0x0101004E32BC299DDA75418A481CE8C1C04767</vt:lpwstr>
  </property>
  <property fmtid="{D5CDD505-2E9C-101B-9397-08002B2CF9AE}" pid="3" name="MediaServiceImageTags">
    <vt:lpwstr/>
  </property>
</Properties>
</file>